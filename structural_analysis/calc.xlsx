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charts/style3.xml" ContentType="application/vnd.ms-office.chart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3.xml" ContentType="application/vnd.ms-office.chartcolorstyle+xml"/>
  <Override PartName="/docProps/app.xml" ContentType="application/vnd.openxmlformats-officedocument.extended-properties+xml"/>
  <Override PartName="/xl/charts/chart3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<sst xmlns="http://schemas.openxmlformats.org/spreadsheetml/2006/main" count="88" uniqueCount="88">
  <si>
    <t xml:space="preserve">Slag System</t>
  </si>
  <si>
    <t xml:space="preserve">Partial RDF</t>
  </si>
  <si>
    <t xml:space="preserve">Slope of MSD (A2/ps)</t>
  </si>
  <si>
    <t xml:space="preserve">Total Self Diffusivity</t>
  </si>
  <si>
    <t>Viscosity</t>
  </si>
  <si>
    <t>Aluminate</t>
  </si>
  <si>
    <t xml:space="preserve">Aluminate Relative</t>
  </si>
  <si>
    <t>Silicate</t>
  </si>
  <si>
    <t>Oxygen</t>
  </si>
  <si>
    <t xml:space="preserve">RDF (Si)</t>
  </si>
  <si>
    <t xml:space="preserve">RDF (Al)</t>
  </si>
  <si>
    <t xml:space="preserve">Diffusivity (cm2/sec)</t>
  </si>
  <si>
    <t xml:space="preserve">Viscosity (Pa.sec)</t>
  </si>
  <si>
    <t xml:space="preserve">Viscosity (Poise)</t>
  </si>
  <si>
    <t>AlO4</t>
  </si>
  <si>
    <t>AlO5</t>
  </si>
  <si>
    <t xml:space="preserve">Others (3- or 6-)</t>
  </si>
  <si>
    <t>Q0</t>
  </si>
  <si>
    <t>Q1</t>
  </si>
  <si>
    <t>Q2</t>
  </si>
  <si>
    <t>Q3</t>
  </si>
  <si>
    <t>Q4</t>
  </si>
  <si>
    <t>&gt;Q4</t>
  </si>
  <si>
    <t>FO</t>
  </si>
  <si>
    <t>NBO</t>
  </si>
  <si>
    <t>BO</t>
  </si>
  <si>
    <t>Tri</t>
  </si>
  <si>
    <t>mc1</t>
  </si>
  <si>
    <t>mc2</t>
  </si>
  <si>
    <t>mc3</t>
  </si>
  <si>
    <t>mc4</t>
  </si>
  <si>
    <t xml:space="preserve">Coordination Number</t>
  </si>
  <si>
    <t>Si</t>
  </si>
  <si>
    <t>Al</t>
  </si>
  <si>
    <t xml:space="preserve">random python</t>
  </si>
  <si>
    <t>paper</t>
  </si>
  <si>
    <t>error</t>
  </si>
  <si>
    <t>alo4</t>
  </si>
  <si>
    <t>alo5</t>
  </si>
  <si>
    <t>fo</t>
  </si>
  <si>
    <t>nbo</t>
  </si>
  <si>
    <t>bo</t>
  </si>
  <si>
    <t>tri</t>
  </si>
  <si>
    <t>q0</t>
  </si>
  <si>
    <t>q1</t>
  </si>
  <si>
    <t>q2</t>
  </si>
  <si>
    <t>q3</t>
  </si>
  <si>
    <t>q4</t>
  </si>
  <si>
    <t xml:space="preserve">mc4 temp</t>
  </si>
  <si>
    <t xml:space="preserve">temp (C)</t>
  </si>
  <si>
    <t>poise</t>
  </si>
  <si>
    <t xml:space="preserve">total diffusion (cm2/s)</t>
  </si>
  <si>
    <t>kb</t>
  </si>
  <si>
    <t xml:space="preserve">r (A)</t>
  </si>
  <si>
    <t xml:space="preserve">r (m)</t>
  </si>
  <si>
    <t>T</t>
  </si>
  <si>
    <t xml:space="preserve">D (cm2/sec)</t>
  </si>
  <si>
    <t xml:space="preserve">D (m2/sec)</t>
  </si>
  <si>
    <t>eta</t>
  </si>
  <si>
    <t>r</t>
  </si>
  <si>
    <t>D</t>
  </si>
  <si>
    <t>1/(rD)</t>
  </si>
  <si>
    <t>si</t>
  </si>
  <si>
    <t>al</t>
  </si>
  <si>
    <t>ca</t>
  </si>
  <si>
    <t>mg</t>
  </si>
  <si>
    <t xml:space="preserve">Si4+(0.4A˚), Al3+(0.535A˚), Ca2+(1.0A˚), Mg2+(0.72A˚), and O2−(1.40A˚)</t>
  </si>
  <si>
    <t>o</t>
  </si>
  <si>
    <t>Slag</t>
  </si>
  <si>
    <t>Ca</t>
  </si>
  <si>
    <t>Mg</t>
  </si>
  <si>
    <t>O</t>
  </si>
  <si>
    <t>Total</t>
  </si>
  <si>
    <t>r(A)</t>
  </si>
  <si>
    <t xml:space="preserve">diffusivity (cm2/sec)</t>
  </si>
  <si>
    <t xml:space="preserve">visc (poise)</t>
  </si>
  <si>
    <t>MC1</t>
  </si>
  <si>
    <t>MC2</t>
  </si>
  <si>
    <t>MC3</t>
  </si>
  <si>
    <t>MC4</t>
  </si>
  <si>
    <t xml:space="preserve">ionic r</t>
  </si>
  <si>
    <t xml:space="preserve">ionic r(A)</t>
  </si>
  <si>
    <t>D(cm2/s)</t>
  </si>
  <si>
    <t>visc</t>
  </si>
  <si>
    <t>visc(poise)</t>
  </si>
  <si>
    <t>diff</t>
  </si>
  <si>
    <t>Mg&lt;Al&lt;Ca&lt;Si&lt;O</t>
  </si>
  <si>
    <t>O&lt;Ca&lt;Al&lt;Si&lt;Mg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</si>
</sst>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3">
    <font>
      <sz val="11.000000"/>
      <color theme="1"/>
      <name val="Calibri"/>
      <scheme val="minor"/>
    </font>
    <font>
      <color theme="1"/>
    </font>
    <font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theme="4" tint="0.79998168889431442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4" tint="0.39997558519241921"/>
      </left>
      <right style="none"/>
      <top style="thin">
        <color theme="4" tint="0.39997558519241921"/>
      </top>
      <bottom style="thin">
        <color theme="4" tint="0.39997558519241921"/>
      </bottom>
      <diagonal style="none"/>
      <horizontal style="thin">
        <color theme="4" tint="0.39997558519241921"/>
      </horizontal>
    </border>
    <border>
      <left style="none"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 style="none"/>
      <horizontal style="thin">
        <color theme="4" tint="0.39997558519241921"/>
      </horizontal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31">
    <xf fontId="0" fillId="0" borderId="0" numFmtId="0" xfId="0"/>
    <xf fontId="0" fillId="0" borderId="1" numFmtId="0" xfId="0" applyBorder="1" applyAlignment="1">
      <alignment horizontal="center" wrapText="1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 wrapText="1"/>
    </xf>
    <xf fontId="0" fillId="0" borderId="5" numFmtId="0" xfId="0" applyBorder="1"/>
    <xf fontId="0" fillId="0" borderId="5" numFmtId="0" xfId="0" applyBorder="1" applyAlignment="1">
      <alignment horizontal="center"/>
    </xf>
    <xf fontId="0" fillId="0" borderId="6" numFmtId="0" xfId="0" applyBorder="1" applyAlignment="1">
      <alignment horizontal="center" wrapText="1"/>
    </xf>
    <xf fontId="0" fillId="0" borderId="7" numFmtId="0" xfId="0" applyBorder="1" applyAlignment="1">
      <alignment horizontal="center" wrapText="1"/>
    </xf>
    <xf fontId="0" fillId="0" borderId="5" numFmtId="11" xfId="0" applyNumberFormat="1" applyBorder="1"/>
    <xf fontId="0" fillId="0" borderId="5" numFmtId="164" xfId="0" applyNumberFormat="1" applyBorder="1"/>
    <xf fontId="0" fillId="0" borderId="5" numFmtId="10" xfId="0" applyNumberFormat="1" applyBorder="1"/>
    <xf fontId="0" fillId="0" borderId="5" numFmtId="9" xfId="1" applyNumberFormat="1" applyBorder="1"/>
    <xf fontId="0" fillId="0" borderId="5" numFmtId="0" xfId="0" applyBorder="1" applyAlignment="1">
      <alignment horizontal="center" wrapText="1"/>
    </xf>
    <xf fontId="0" fillId="0" borderId="0" numFmtId="0" xfId="0" applyAlignment="1">
      <alignment horizontal="center"/>
    </xf>
    <xf fontId="0" fillId="0" borderId="0" numFmtId="0" xfId="0">
      <protection hidden="0" locked="1"/>
    </xf>
    <xf fontId="0" fillId="0" borderId="0" numFmtId="10" xfId="0" applyNumberFormat="1"/>
    <xf fontId="0" fillId="0" borderId="0" numFmtId="0" xfId="0"/>
    <xf fontId="0" fillId="0" borderId="8" numFmtId="0" xfId="0" applyBorder="1"/>
    <xf fontId="0" fillId="0" borderId="0" numFmtId="11" xfId="0" applyNumberFormat="1"/>
    <xf fontId="1" fillId="3" borderId="9" numFmtId="0" xfId="0" applyFont="1" applyFill="1" applyBorder="1">
      <protection hidden="0" locked="1"/>
    </xf>
    <xf fontId="0" fillId="3" borderId="10" numFmtId="11" xfId="0" applyNumberFormat="1" applyFill="1" applyBorder="1"/>
    <xf fontId="0" fillId="0" borderId="0" numFmtId="164" xfId="0" applyNumberFormat="1"/>
    <xf fontId="1" fillId="0" borderId="9" numFmtId="0" xfId="0" applyFont="1" applyBorder="1"/>
    <xf fontId="0" fillId="0" borderId="10" numFmtId="11" xfId="0" applyNumberFormat="1" applyBorder="1"/>
    <xf fontId="1" fillId="3" borderId="9" numFmtId="0" xfId="0" applyFont="1" applyFill="1" applyBorder="1"/>
    <xf fontId="0" fillId="0" borderId="0" numFmtId="2" xfId="0" applyNumberFormat="1"/>
    <xf fontId="2" fillId="0" borderId="0" numFmtId="0" xfId="0" applyFont="1" applyAlignment="1">
      <alignment horizontal="left"/>
    </xf>
    <xf fontId="0" fillId="0" borderId="0" numFmtId="165" xfId="0" applyNumberFormat="1"/>
    <xf fontId="0" fillId="0" borderId="0" numFmtId="0" xfId="0">
      <protection hidden="0" locked="1"/>
    </xf>
    <xf fontId="0" fillId="0" borderId="0" numFmt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Sheet2!$E$5</c:f>
              <c:strCache>
                <c:ptCount val="1"/>
                <c:pt idx="0">
                  <c:v>poise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xVal>
            <c:numRef>
              <c:f>Sheet2!$D$6:$D$17</c:f>
              <c:numCache>
                <c:formatCode>General</c:formatCode>
                <c:ptCount val="12"/>
                <c:pt idx="0">
                  <c:v>1127</c:v>
                </c:pt>
                <c:pt idx="1">
                  <c:v>1147</c:v>
                </c:pt>
                <c:pt idx="2">
                  <c:v>1400</c:v>
                </c:pt>
                <c:pt idx="3">
                  <c:v>1410</c:v>
                </c:pt>
                <c:pt idx="4">
                  <c:v>1420</c:v>
                </c:pt>
                <c:pt idx="5">
                  <c:v>1440</c:v>
                </c:pt>
                <c:pt idx="6">
                  <c:v>1460</c:v>
                </c:pt>
                <c:pt idx="7">
                  <c:v>1480</c:v>
                </c:pt>
                <c:pt idx="8">
                  <c:v>1500</c:v>
                </c:pt>
                <c:pt idx="9">
                  <c:v>1520</c:v>
                </c:pt>
                <c:pt idx="10">
                  <c:v>1540</c:v>
                </c:pt>
                <c:pt idx="11">
                  <c:v>1560</c:v>
                </c:pt>
              </c:numCache>
            </c:numRef>
          </c:xVal>
          <c:yVal>
            <c:numRef>
              <c:f>Sheet2!$E$6:$E$17</c:f>
              <c:numCache>
                <c:formatCode>General</c:formatCode>
                <c:ptCount val="12"/>
                <c:pt idx="0">
                  <c:v>0.2503</c:v>
                </c:pt>
                <c:pt idx="1">
                  <c:v>0.2458</c:v>
                </c:pt>
                <c:pt idx="2">
                  <c:v>0.0981</c:v>
                </c:pt>
                <c:pt idx="3">
                  <c:v>0.0957</c:v>
                </c:pt>
                <c:pt idx="4">
                  <c:v>0.0974</c:v>
                </c:pt>
                <c:pt idx="5">
                  <c:v>0.0876</c:v>
                </c:pt>
                <c:pt idx="6">
                  <c:v>0.0853</c:v>
                </c:pt>
                <c:pt idx="7">
                  <c:v>0.0802</c:v>
                </c:pt>
                <c:pt idx="8">
                  <c:v>0.0767</c:v>
                </c:pt>
                <c:pt idx="9">
                  <c:v>0.0722</c:v>
                </c:pt>
                <c:pt idx="10">
                  <c:v>0.0734</c:v>
                </c:pt>
                <c:pt idx="11">
                  <c:v>0.0678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789"/>
        <c:axId val="2140841790"/>
      </c:scatterChart>
      <c:valAx>
        <c:axId val="214084178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790"/>
        <c:crosses val="autoZero"/>
        <c:crossBetween val="between"/>
      </c:valAx>
      <c:valAx>
        <c:axId val="214084179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78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 flipH="0" flipV="0">
      <a:off x="5043920" y="939511"/>
      <a:ext cx="4139045" cy="24764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Sheet2!$E$25</c:f>
              <c:strCache>
                <c:ptCount val="1"/>
                <c:pt idx="0">
                  <c:v>poise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xVal>
            <c:numRef>
              <c:f>Sheet2!$D$26:$D$35</c:f>
              <c:numCache>
                <c:formatCode>General</c:formatCode>
                <c:ptCount val="10"/>
                <c:pt idx="0">
                  <c:v>1400</c:v>
                </c:pt>
                <c:pt idx="1">
                  <c:v>1410</c:v>
                </c:pt>
                <c:pt idx="2">
                  <c:v>1420</c:v>
                </c:pt>
                <c:pt idx="3">
                  <c:v>1440</c:v>
                </c:pt>
                <c:pt idx="4">
                  <c:v>1460</c:v>
                </c:pt>
                <c:pt idx="5">
                  <c:v>1480</c:v>
                </c:pt>
                <c:pt idx="6">
                  <c:v>1500</c:v>
                </c:pt>
                <c:pt idx="7">
                  <c:v>1520</c:v>
                </c:pt>
                <c:pt idx="8">
                  <c:v>1540</c:v>
                </c:pt>
                <c:pt idx="9">
                  <c:v>1560</c:v>
                </c:pt>
              </c:numCache>
            </c:numRef>
          </c:xVal>
          <c:yVal>
            <c:numRef>
              <c:f>Sheet2!$E$26:$E$35</c:f>
              <c:numCache>
                <c:formatCode>General</c:formatCode>
                <c:ptCount val="10"/>
                <c:pt idx="0">
                  <c:v>0.0981</c:v>
                </c:pt>
                <c:pt idx="1">
                  <c:v>0.0957</c:v>
                </c:pt>
                <c:pt idx="2">
                  <c:v>0.0974</c:v>
                </c:pt>
                <c:pt idx="3">
                  <c:v>0.0876</c:v>
                </c:pt>
                <c:pt idx="4">
                  <c:v>0.0853</c:v>
                </c:pt>
                <c:pt idx="5">
                  <c:v>0.0802</c:v>
                </c:pt>
                <c:pt idx="6">
                  <c:v>0.0767</c:v>
                </c:pt>
                <c:pt idx="7">
                  <c:v>0.0722</c:v>
                </c:pt>
                <c:pt idx="8">
                  <c:v>0.0734</c:v>
                </c:pt>
                <c:pt idx="9">
                  <c:v>0.0678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815"/>
        <c:axId val="2140841816"/>
      </c:scatterChart>
      <c:valAx>
        <c:axId val="2140841815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816"/>
        <c:crosses val="autoZero"/>
        <c:crossBetween val="between"/>
      </c:valAx>
      <c:valAx>
        <c:axId val="214084181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81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 flipH="0" flipV="0">
      <a:off x="6879647" y="3987509"/>
      <a:ext cx="4139045" cy="24764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xVal>
            <c:numRef>
              <c:f>Sheet2!$A$43:$A$52</c:f>
              <c:numCache>
                <c:formatCode>General</c:formatCode>
                <c:ptCount val="10"/>
                <c:pt idx="0">
                  <c:v>1400</c:v>
                </c:pt>
                <c:pt idx="1">
                  <c:v>1410</c:v>
                </c:pt>
                <c:pt idx="2">
                  <c:v>1420</c:v>
                </c:pt>
                <c:pt idx="3">
                  <c:v>1440</c:v>
                </c:pt>
                <c:pt idx="4">
                  <c:v>1460</c:v>
                </c:pt>
                <c:pt idx="5">
                  <c:v>1480</c:v>
                </c:pt>
                <c:pt idx="6">
                  <c:v>1500</c:v>
                </c:pt>
                <c:pt idx="7">
                  <c:v>1520</c:v>
                </c:pt>
                <c:pt idx="8">
                  <c:v>1540</c:v>
                </c:pt>
                <c:pt idx="9">
                  <c:v>1560</c:v>
                </c:pt>
              </c:numCache>
            </c:numRef>
          </c:xVal>
          <c:yVal>
            <c:numRef>
              <c:f>Sheet2!$F$43:$F$52</c:f>
              <c:numCache>
                <c:formatCode>0.0000</c:formatCode>
                <c:ptCount val="10"/>
                <c:pt idx="0">
                  <c:v>0.12448089601278498</c:v>
                </c:pt>
                <c:pt idx="1">
                  <c:v>0.12145421647137802</c:v>
                </c:pt>
                <c:pt idx="2">
                  <c:v>0.12363763769348857</c:v>
                </c:pt>
                <c:pt idx="3">
                  <c:v>0.11115820823491357</c:v>
                </c:pt>
                <c:pt idx="4">
                  <c:v>0.10832784111659484</c:v>
                </c:pt>
                <c:pt idx="5">
                  <c:v>0.10185099431052504</c:v>
                </c:pt>
                <c:pt idx="6">
                  <c:v>0.09736531430711151</c:v>
                </c:pt>
                <c:pt idx="7">
                  <c:v>0.09165029455530305</c:v>
                </c:pt>
                <c:pt idx="8">
                  <c:v>0.09315299866994932</c:v>
                </c:pt>
                <c:pt idx="9">
                  <c:v>0.0860454081258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871"/>
        <c:axId val="2140841872"/>
      </c:scatterChart>
      <c:valAx>
        <c:axId val="214084187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872"/>
        <c:crosses val="autoZero"/>
        <c:crossBetween val="between"/>
      </c:valAx>
      <c:valAx>
        <c:axId val="21408418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8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 flipH="0" flipV="0">
      <a:off x="5676033" y="7355897"/>
      <a:ext cx="4139045" cy="24764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406976</xdr:colOff>
      <xdr:row>5</xdr:row>
      <xdr:rowOff>51954</xdr:rowOff>
    </xdr:from>
    <xdr:to>
      <xdr:col>14</xdr:col>
      <xdr:colOff>272760</xdr:colOff>
      <xdr:row>19</xdr:row>
      <xdr:rowOff>43295</xdr:rowOff>
    </xdr:to>
    <xdr:graphicFrame>
      <xdr:nvGraphicFramePr>
        <xdr:cNvPr id="877795380" name=""/>
        <xdr:cNvGraphicFramePr>
          <a:graphicFrameLocks xmlns:a="http://schemas.openxmlformats.org/drawingml/2006/main"/>
        </xdr:cNvGraphicFramePr>
      </xdr:nvGraphicFramePr>
      <xdr:xfrm rot="0" flipH="0" flipV="0">
        <a:off x="5043920" y="939511"/>
        <a:ext cx="4139045" cy="24764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9</xdr:col>
      <xdr:colOff>155863</xdr:colOff>
      <xdr:row>22</xdr:row>
      <xdr:rowOff>82259</xdr:rowOff>
    </xdr:from>
    <xdr:to>
      <xdr:col>16</xdr:col>
      <xdr:colOff>21646</xdr:colOff>
      <xdr:row>36</xdr:row>
      <xdr:rowOff>73599</xdr:rowOff>
    </xdr:to>
    <xdr:graphicFrame>
      <xdr:nvGraphicFramePr>
        <xdr:cNvPr id="617434037" name=""/>
        <xdr:cNvGraphicFramePr>
          <a:graphicFrameLocks xmlns:a="http://schemas.openxmlformats.org/drawingml/2006/main"/>
        </xdr:cNvGraphicFramePr>
      </xdr:nvGraphicFramePr>
      <xdr:xfrm rot="0" flipH="0" flipV="0">
        <a:off x="6879647" y="3987509"/>
        <a:ext cx="4139045" cy="24764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7</xdr:col>
      <xdr:colOff>281420</xdr:colOff>
      <xdr:row>41</xdr:row>
      <xdr:rowOff>77930</xdr:rowOff>
    </xdr:from>
    <xdr:to>
      <xdr:col>14</xdr:col>
      <xdr:colOff>147204</xdr:colOff>
      <xdr:row>55</xdr:row>
      <xdr:rowOff>69272</xdr:rowOff>
    </xdr:to>
    <xdr:graphicFrame>
      <xdr:nvGraphicFramePr>
        <xdr:cNvPr id="13704973" name=""/>
        <xdr:cNvGraphicFramePr>
          <a:graphicFrameLocks xmlns:a="http://schemas.openxmlformats.org/drawingml/2006/main"/>
        </xdr:cNvGraphicFramePr>
      </xdr:nvGraphicFramePr>
      <xdr:xfrm rot="0" flipH="0" flipV="0">
        <a:off x="5676033" y="7355897"/>
        <a:ext cx="4139045" cy="24764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C5:F17">
  <autoFilter ref="C5:F17"/>
  <tableColumns count="4">
    <tableColumn id="1" name="mc4 temp"/>
    <tableColumn id="2" name="temp (C)"/>
    <tableColumn id="3" name="poise"/>
    <tableColumn id="4" name="total diffusion (cm2/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C25:E35">
  <autoFilter ref="C25:E35"/>
  <tableColumns count="3">
    <tableColumn id="1" name="mc4 temp"/>
    <tableColumn id="2" name="temp (C)"/>
    <tableColumn id="3" name="pois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Relationship 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0" zoomScale="100" workbookViewId="0">
      <selection activeCell="A1" activeCellId="0" sqref="A1"/>
    </sheetView>
  </sheetViews>
  <sheetFormatPr defaultRowHeight="14.25"/>
  <cols>
    <col bestFit="1" min="5" max="5" width="10.11328125"/>
    <col customWidth="1" min="6" max="6" width="14.7109375"/>
    <col bestFit="1" min="7" max="7" width="18.2421875"/>
    <col bestFit="1" min="8" max="8" width="15.140625"/>
    <col bestFit="1" min="9" max="9" width="14.3515625"/>
    <col bestFit="1" min="12" max="12" width="14.421875"/>
  </cols>
  <sheetData>
    <row r="3" ht="14.25">
      <c r="C3" s="1" t="s">
        <v>0</v>
      </c>
      <c r="D3" s="2" t="s">
        <v>1</v>
      </c>
      <c r="E3" s="3"/>
      <c r="F3" s="4" t="s">
        <v>2</v>
      </c>
      <c r="G3" s="5" t="s">
        <v>3</v>
      </c>
      <c r="H3" s="2" t="s">
        <v>4</v>
      </c>
      <c r="I3" s="3"/>
      <c r="J3" s="6" t="s">
        <v>5</v>
      </c>
      <c r="K3" s="6"/>
      <c r="L3" s="6"/>
      <c r="M3" s="6" t="s">
        <v>6</v>
      </c>
      <c r="N3" s="6"/>
      <c r="O3" s="6" t="s">
        <v>7</v>
      </c>
      <c r="P3" s="6"/>
      <c r="Q3" s="6"/>
      <c r="R3" s="6"/>
      <c r="S3" s="6"/>
      <c r="T3" s="6"/>
      <c r="U3" s="6" t="s">
        <v>8</v>
      </c>
      <c r="V3" s="6"/>
      <c r="W3" s="6"/>
      <c r="X3" s="6"/>
    </row>
    <row r="4" ht="14.25">
      <c r="C4" s="7"/>
      <c r="D4" s="5" t="s">
        <v>9</v>
      </c>
      <c r="E4" s="5" t="s">
        <v>10</v>
      </c>
      <c r="F4" s="8"/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14</v>
      </c>
      <c r="N4" s="5" t="s">
        <v>15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</row>
    <row r="5" ht="14.25">
      <c r="C5" s="5" t="s">
        <v>27</v>
      </c>
      <c r="D5" s="5">
        <v>2.3500000000000001</v>
      </c>
      <c r="E5" s="5">
        <v>2.5499999999999998</v>
      </c>
      <c r="F5" s="9">
        <v>0.82806000000000002</v>
      </c>
      <c r="G5" s="9">
        <v>1.3801000000000001e-05</v>
      </c>
      <c r="H5" s="5">
        <v>0.0068999999999999999</v>
      </c>
      <c r="I5" s="10">
        <v>0.069099999999999995</v>
      </c>
      <c r="J5" s="11">
        <v>0.75670000000000004</v>
      </c>
      <c r="K5" s="11">
        <v>0.2087</v>
      </c>
      <c r="L5" s="11">
        <v>0.034500000000000003</v>
      </c>
      <c r="M5" s="12">
        <f t="shared" ref="M5:M8" si="0">J5/($J5+$K5)</f>
        <v>0.78382017816449145</v>
      </c>
      <c r="N5" s="12">
        <f t="shared" ref="N5:N8" si="1">K5/($J5+$K5)</f>
        <v>0.21617982183550857</v>
      </c>
      <c r="O5" s="11">
        <v>0.040599999999999997</v>
      </c>
      <c r="P5" s="11">
        <v>0.2016</v>
      </c>
      <c r="Q5" s="11">
        <v>0.36959999999999998</v>
      </c>
      <c r="R5" s="11">
        <v>0.2949</v>
      </c>
      <c r="S5" s="11">
        <v>0.089900000000000008</v>
      </c>
      <c r="T5" s="11">
        <v>0.0033</v>
      </c>
      <c r="U5" s="11">
        <v>0.034300000000000004</v>
      </c>
      <c r="V5" s="11">
        <v>0.48719999999999997</v>
      </c>
      <c r="W5" s="11">
        <v>0.44900000000000001</v>
      </c>
      <c r="X5" s="11">
        <v>0.029399999999999999</v>
      </c>
    </row>
    <row r="6" ht="14.25">
      <c r="C6" s="5" t="s">
        <v>28</v>
      </c>
      <c r="D6" s="5">
        <v>2.3500000000000001</v>
      </c>
      <c r="E6" s="5">
        <v>2.5499999999999998</v>
      </c>
      <c r="F6" s="9">
        <v>0.83257999999999999</v>
      </c>
      <c r="G6" s="9">
        <v>1.3876000000000001e-05</v>
      </c>
      <c r="H6" s="5">
        <v>0.0068999999999999999</v>
      </c>
      <c r="I6" s="10">
        <v>0.068699999999999997</v>
      </c>
      <c r="J6" s="11">
        <v>0.76139999999999997</v>
      </c>
      <c r="K6" s="11">
        <v>0.2041</v>
      </c>
      <c r="L6" s="11">
        <v>0.034500000000000003</v>
      </c>
      <c r="M6" s="12">
        <f t="shared" si="0"/>
        <v>0.78860693940963222</v>
      </c>
      <c r="N6" s="12">
        <f t="shared" si="1"/>
        <v>0.21139306059036769</v>
      </c>
      <c r="O6" s="11">
        <v>0.040199999999999993</v>
      </c>
      <c r="P6" s="11">
        <v>0.2036</v>
      </c>
      <c r="Q6" s="11">
        <v>0.37070000000000003</v>
      </c>
      <c r="R6" s="11">
        <v>0.29389999999999999</v>
      </c>
      <c r="S6" s="11">
        <v>0.088499999999999995</v>
      </c>
      <c r="T6" s="11">
        <v>0.0030000000000000001</v>
      </c>
      <c r="U6" s="11">
        <v>0.036600000000000001</v>
      </c>
      <c r="V6" s="11">
        <v>0.49079999999999996</v>
      </c>
      <c r="W6" s="11">
        <v>0.44450000000000001</v>
      </c>
      <c r="X6" s="11">
        <v>0.0281</v>
      </c>
    </row>
    <row r="7" ht="14.25">
      <c r="C7" s="5" t="s">
        <v>29</v>
      </c>
      <c r="D7" s="5">
        <v>2.3500000000000001</v>
      </c>
      <c r="E7" s="5">
        <v>2.5499999999999998</v>
      </c>
      <c r="F7" s="9">
        <v>0.88875000000000004</v>
      </c>
      <c r="G7" s="9">
        <v>1.4812e-05</v>
      </c>
      <c r="H7" s="5">
        <v>0.0064000000000000003</v>
      </c>
      <c r="I7" s="10">
        <v>0.064399999999999999</v>
      </c>
      <c r="J7" s="11">
        <v>0.7659999999999999</v>
      </c>
      <c r="K7" s="11">
        <v>0.19940000000000002</v>
      </c>
      <c r="L7" s="11">
        <v>0.034599999999999999</v>
      </c>
      <c r="M7" s="12">
        <f t="shared" si="0"/>
        <v>0.79345349078102334</v>
      </c>
      <c r="N7" s="12">
        <f t="shared" si="1"/>
        <v>0.20654650921897663</v>
      </c>
      <c r="O7" s="11">
        <v>0.041799999999999997</v>
      </c>
      <c r="P7" s="11">
        <v>0.20730000000000001</v>
      </c>
      <c r="Q7" s="11">
        <v>0.37159999999999999</v>
      </c>
      <c r="R7" s="11">
        <v>0.2898</v>
      </c>
      <c r="S7" s="11">
        <v>0.086699999999999999</v>
      </c>
      <c r="T7" s="11">
        <v>0.0028000000000000004</v>
      </c>
      <c r="U7" s="11">
        <v>0.039100000000000003</v>
      </c>
      <c r="V7" s="11">
        <v>0.49479999999999996</v>
      </c>
      <c r="W7" s="11">
        <v>0.43880000000000002</v>
      </c>
      <c r="X7" s="11">
        <v>0.027300000000000001</v>
      </c>
    </row>
    <row r="8" ht="14.25">
      <c r="C8" s="5" t="s">
        <v>30</v>
      </c>
      <c r="D8" s="5">
        <v>2.3500000000000001</v>
      </c>
      <c r="E8" s="5">
        <v>2.5499999999999998</v>
      </c>
      <c r="F8" s="9">
        <v>0.93867</v>
      </c>
      <c r="G8" s="9">
        <v>1.5644000000000001e-05</v>
      </c>
      <c r="H8" s="5">
        <v>0.0061000000000000004</v>
      </c>
      <c r="I8" s="10">
        <v>0.060999999999999999</v>
      </c>
      <c r="J8" s="11">
        <v>0.77060000000000006</v>
      </c>
      <c r="K8" s="11">
        <v>0.1946</v>
      </c>
      <c r="L8" s="11">
        <v>0.034799999999999998</v>
      </c>
      <c r="M8" s="12">
        <f t="shared" si="0"/>
        <v>0.7983837546622462</v>
      </c>
      <c r="N8" s="12">
        <f t="shared" si="1"/>
        <v>0.20161624533775382</v>
      </c>
      <c r="O8" s="11">
        <v>0.0436</v>
      </c>
      <c r="P8" s="11">
        <v>0.21059999999999998</v>
      </c>
      <c r="Q8" s="11">
        <v>0.37270000000000003</v>
      </c>
      <c r="R8" s="11">
        <v>0.28699999999999998</v>
      </c>
      <c r="S8" s="11">
        <v>0.083499999999999991</v>
      </c>
      <c r="T8" s="11">
        <v>0.0025999999999999999</v>
      </c>
      <c r="U8" s="11">
        <v>0.041500000000000002</v>
      </c>
      <c r="V8" s="11">
        <v>0.49880000000000002</v>
      </c>
      <c r="W8" s="11">
        <v>0.43290000000000001</v>
      </c>
      <c r="X8" s="11">
        <v>0.026800000000000001</v>
      </c>
    </row>
    <row r="10" ht="14.25">
      <c r="C10" s="13" t="s">
        <v>0</v>
      </c>
      <c r="D10" s="6" t="s">
        <v>31</v>
      </c>
      <c r="E10" s="6"/>
      <c r="F10" s="14"/>
    </row>
    <row r="11" ht="14.25">
      <c r="C11" s="13"/>
      <c r="D11" s="6" t="s">
        <v>32</v>
      </c>
      <c r="E11" s="6" t="s">
        <v>33</v>
      </c>
      <c r="F11" s="14"/>
      <c r="J11" s="14" t="s">
        <v>34</v>
      </c>
      <c r="K11" s="14"/>
      <c r="L11" s="14" t="s">
        <v>35</v>
      </c>
      <c r="M11" s="14"/>
      <c r="N11" s="14" t="s">
        <v>36</v>
      </c>
      <c r="O11" s="14"/>
      <c r="Q11" s="14" t="s">
        <v>36</v>
      </c>
      <c r="R11" s="14"/>
    </row>
    <row r="12" ht="14.25">
      <c r="C12" s="6" t="s">
        <v>27</v>
      </c>
      <c r="D12" s="6">
        <v>4.0355999999999996</v>
      </c>
      <c r="E12" s="6">
        <v>4.2256999999999998</v>
      </c>
      <c r="F12" s="14"/>
      <c r="I12" t="s">
        <v>0</v>
      </c>
      <c r="J12" t="s">
        <v>37</v>
      </c>
      <c r="K12" t="s">
        <v>38</v>
      </c>
      <c r="L12" t="s">
        <v>37</v>
      </c>
      <c r="M12" t="s">
        <v>38</v>
      </c>
      <c r="N12" t="s">
        <v>37</v>
      </c>
      <c r="O12" t="s">
        <v>38</v>
      </c>
      <c r="Q12" t="s">
        <v>37</v>
      </c>
      <c r="R12" s="15" t="s">
        <v>38</v>
      </c>
    </row>
    <row r="13" ht="14.25">
      <c r="C13" s="6" t="s">
        <v>28</v>
      </c>
      <c r="D13" s="6">
        <v>4.0332999999999997</v>
      </c>
      <c r="E13" s="6">
        <v>4.2183999999999999</v>
      </c>
      <c r="F13" s="14"/>
      <c r="I13" s="5" t="s">
        <v>27</v>
      </c>
      <c r="J13" s="16">
        <v>0.82050000000000001</v>
      </c>
      <c r="K13" s="16">
        <v>0.057000000000000002</v>
      </c>
      <c r="L13" s="16">
        <v>0.86243243319504925</v>
      </c>
      <c r="M13" s="16">
        <v>0.12090090079661144</v>
      </c>
      <c r="N13" s="16">
        <f t="shared" ref="N13:N16" si="2">ABS(L13-J13)/J13</f>
        <v>0.051105951486958248</v>
      </c>
      <c r="O13" s="16">
        <f t="shared" ref="O13:O16" si="3">ABS(M13-K13)/J13</f>
        <v>0.077880439727740919</v>
      </c>
      <c r="Q13" s="16">
        <f t="shared" ref="Q13:Q16" si="4">ABS(L13-M5)/M5</f>
        <v>0.1002937372888866</v>
      </c>
      <c r="R13" s="16">
        <f t="shared" ref="R13:R16" si="5">ABS(M13-N5)/N5</f>
        <v>0.44073919679420848</v>
      </c>
    </row>
    <row r="14" ht="14.25">
      <c r="C14" s="6" t="s">
        <v>29</v>
      </c>
      <c r="D14" s="6">
        <v>4.0321999999999996</v>
      </c>
      <c r="E14" s="6">
        <v>4.2111000000000001</v>
      </c>
      <c r="F14" s="14"/>
      <c r="I14" s="5" t="s">
        <v>28</v>
      </c>
      <c r="J14" s="16">
        <v>0.8073999999999999</v>
      </c>
      <c r="K14" s="16">
        <v>0.0574</v>
      </c>
      <c r="L14" s="16">
        <v>0.8581981997234317</v>
      </c>
      <c r="M14" s="16">
        <v>0.12846846922456709</v>
      </c>
      <c r="N14" s="16">
        <f t="shared" si="2"/>
        <v>0.062915778701302716</v>
      </c>
      <c r="O14" s="16">
        <f t="shared" si="3"/>
        <v>0.088021388685369198</v>
      </c>
      <c r="Q14" s="16">
        <f t="shared" si="4"/>
        <v>0.088245812756728922</v>
      </c>
      <c r="R14" s="16">
        <f t="shared" si="5"/>
        <v>0.39227679061087939</v>
      </c>
    </row>
    <row r="15" ht="14.25">
      <c r="C15" s="6" t="s">
        <v>30</v>
      </c>
      <c r="D15" s="6">
        <v>4.0303000000000004</v>
      </c>
      <c r="E15" s="6">
        <v>4.2039</v>
      </c>
      <c r="F15" s="14"/>
      <c r="I15" s="5" t="s">
        <v>29</v>
      </c>
      <c r="J15" s="16">
        <v>0.79760000000000009</v>
      </c>
      <c r="K15" s="16">
        <v>0.056100000000000004</v>
      </c>
      <c r="L15" s="16">
        <v>0.85036036135762838</v>
      </c>
      <c r="M15" s="16">
        <v>0.12927928167793698</v>
      </c>
      <c r="N15" s="16">
        <f t="shared" si="2"/>
        <v>0.066148898392211997</v>
      </c>
      <c r="O15" s="16">
        <f t="shared" si="3"/>
        <v>0.091749350147864797</v>
      </c>
      <c r="Q15" s="16">
        <f t="shared" si="4"/>
        <v>0.07172048675542364</v>
      </c>
      <c r="R15" s="16">
        <f t="shared" si="5"/>
        <v>0.37409118088324805</v>
      </c>
    </row>
    <row r="16" ht="14.25">
      <c r="I16" s="5" t="s">
        <v>30</v>
      </c>
      <c r="J16" s="16">
        <v>0.80819999999999992</v>
      </c>
      <c r="K16" s="16">
        <v>0.042800000000000005</v>
      </c>
      <c r="L16" s="16">
        <v>0.86468468679654653</v>
      </c>
      <c r="M16" s="16">
        <v>0.1078378421397783</v>
      </c>
      <c r="N16" s="16">
        <f t="shared" si="2"/>
        <v>0.069889491210772856</v>
      </c>
      <c r="O16" s="16">
        <f t="shared" si="3"/>
        <v>0.08047245996013154</v>
      </c>
      <c r="Q16" s="16">
        <f t="shared" si="4"/>
        <v>0.083043939392715635</v>
      </c>
      <c r="R16" s="16">
        <f t="shared" si="5"/>
        <v>0.46513316940743049</v>
      </c>
    </row>
    <row r="17" ht="14.25">
      <c r="M17" s="16"/>
    </row>
    <row r="18" ht="14.25">
      <c r="M18" s="16"/>
    </row>
    <row r="19" ht="14.25">
      <c r="J19" s="14" t="s">
        <v>34</v>
      </c>
      <c r="K19" s="14"/>
      <c r="L19" s="14"/>
      <c r="M19" s="14"/>
      <c r="O19" s="14" t="s">
        <v>35</v>
      </c>
      <c r="P19" s="14"/>
      <c r="Q19" s="14"/>
      <c r="R19" s="14"/>
      <c r="T19" s="14" t="s">
        <v>36</v>
      </c>
      <c r="U19" s="14"/>
      <c r="V19" s="14"/>
      <c r="W19" s="14"/>
    </row>
    <row r="20" ht="14.25">
      <c r="J20" s="17" t="s">
        <v>39</v>
      </c>
      <c r="K20" s="17" t="s">
        <v>40</v>
      </c>
      <c r="L20" s="17" t="s">
        <v>41</v>
      </c>
      <c r="M20" s="16" t="s">
        <v>42</v>
      </c>
      <c r="O20" t="s">
        <v>39</v>
      </c>
      <c r="P20" t="s">
        <v>40</v>
      </c>
      <c r="Q20" t="s">
        <v>41</v>
      </c>
      <c r="R20" s="16" t="s">
        <v>42</v>
      </c>
      <c r="T20" s="15" t="s">
        <v>39</v>
      </c>
      <c r="U20" s="15" t="s">
        <v>40</v>
      </c>
      <c r="V20" t="s">
        <v>41</v>
      </c>
      <c r="W20" s="16" t="s">
        <v>42</v>
      </c>
    </row>
    <row r="21" ht="14.25">
      <c r="J21" s="16">
        <v>0.040599999999999997</v>
      </c>
      <c r="K21" s="16">
        <v>0.51729999999999998</v>
      </c>
      <c r="L21" s="16">
        <v>0.42430000000000001</v>
      </c>
      <c r="M21" s="16">
        <v>0.017899999999999999</v>
      </c>
      <c r="O21" s="16">
        <v>0.032217609622935559</v>
      </c>
      <c r="P21" s="16">
        <v>0.5156065605471235</v>
      </c>
      <c r="Q21" s="16">
        <v>0.43357377392605051</v>
      </c>
      <c r="R21" s="16">
        <v>0.019222794765017811</v>
      </c>
      <c r="T21" s="16">
        <f t="shared" ref="T21:T24" si="6">ABS(O21-J21)/J21</f>
        <v>0.20646281716907486</v>
      </c>
      <c r="U21" s="16">
        <f t="shared" ref="U21:U24" si="7">ABS(P21-K21)/K21</f>
        <v>0.0032736119328754636</v>
      </c>
      <c r="V21" s="16">
        <f t="shared" ref="V21:V24" si="8">ABS(Q21-L21)/L21</f>
        <v>0.021856643709758424</v>
      </c>
      <c r="W21" s="16">
        <f t="shared" ref="W21:W24" si="9">ABS(R21-M21)/M21</f>
        <v>0.07389914888367663</v>
      </c>
    </row>
    <row r="22" ht="14.25">
      <c r="J22" s="16">
        <v>0.044699999999999997</v>
      </c>
      <c r="K22" s="16">
        <v>0.51500000000000001</v>
      </c>
      <c r="L22" s="16">
        <v>0.42700000000000005</v>
      </c>
      <c r="M22" s="16">
        <v>0.013300000000000001</v>
      </c>
      <c r="O22" s="16">
        <v>0.03418653418980732</v>
      </c>
      <c r="P22" s="16">
        <v>0.52072130755943558</v>
      </c>
      <c r="Q22" s="16">
        <v>0.42767213473718402</v>
      </c>
      <c r="R22" s="16">
        <v>0.01804145140969074</v>
      </c>
      <c r="T22" s="16">
        <f t="shared" si="6"/>
        <v>0.23520057740923214</v>
      </c>
      <c r="U22" s="16">
        <f t="shared" si="7"/>
        <v>0.011109335066865169</v>
      </c>
      <c r="V22" s="16">
        <f t="shared" si="8"/>
        <v>0.0015740860355596519</v>
      </c>
      <c r="W22" s="16">
        <f t="shared" si="9"/>
        <v>0.35650010599178483</v>
      </c>
    </row>
    <row r="23" ht="14.25">
      <c r="J23" s="16">
        <v>0.046799999999999994</v>
      </c>
      <c r="K23" s="16">
        <v>0.52210000000000001</v>
      </c>
      <c r="L23" s="16">
        <v>0.41759999999999997</v>
      </c>
      <c r="M23" s="16">
        <v>0.013600000000000001</v>
      </c>
      <c r="O23" s="16">
        <v>0.040487051059545011</v>
      </c>
      <c r="P23" s="16">
        <v>0.51481966837056914</v>
      </c>
      <c r="Q23" s="16">
        <v>0.42609836934236306</v>
      </c>
      <c r="R23" s="16">
        <v>0.019222794765017811</v>
      </c>
      <c r="T23" s="16">
        <f t="shared" si="6"/>
        <v>0.13489207137724327</v>
      </c>
      <c r="U23" s="16">
        <f t="shared" si="7"/>
        <v>0.013944324132217715</v>
      </c>
      <c r="V23" s="16">
        <f t="shared" si="8"/>
        <v>0.020350501298762185</v>
      </c>
      <c r="W23" s="16">
        <f t="shared" si="9"/>
        <v>0.41344079154542718</v>
      </c>
    </row>
    <row r="24" ht="14.25">
      <c r="J24" s="16">
        <v>0.048000000000000001</v>
      </c>
      <c r="K24" s="16">
        <v>0.53739999999999999</v>
      </c>
      <c r="L24" s="16">
        <v>0.39579999999999999</v>
      </c>
      <c r="M24" s="16">
        <v>0.018799999999999997</v>
      </c>
      <c r="O24" s="16">
        <v>0.034777196380140867</v>
      </c>
      <c r="P24" s="16">
        <v>0.50655738108947124</v>
      </c>
      <c r="Q24" s="16">
        <v>0.44026229581232745</v>
      </c>
      <c r="R24" s="16">
        <v>0.018829013646575455</v>
      </c>
      <c r="T24" s="16">
        <f t="shared" si="6"/>
        <v>0.27547507541373195</v>
      </c>
      <c r="U24" s="16">
        <f t="shared" si="7"/>
        <v>0.057392294213860724</v>
      </c>
      <c r="V24" s="16">
        <f t="shared" si="8"/>
        <v>0.11233525975828063</v>
      </c>
      <c r="W24" s="16">
        <f t="shared" si="9"/>
        <v>0.0015432790731626446</v>
      </c>
    </row>
    <row r="27" ht="14.25">
      <c r="I27" s="14" t="s">
        <v>34</v>
      </c>
      <c r="J27" s="14"/>
      <c r="K27" s="14"/>
      <c r="L27" s="14"/>
      <c r="M27" s="14"/>
      <c r="O27" s="14" t="s">
        <v>35</v>
      </c>
      <c r="P27" s="14"/>
      <c r="Q27" s="14"/>
      <c r="R27" s="14"/>
      <c r="S27" s="14"/>
      <c r="U27" s="14" t="s">
        <v>36</v>
      </c>
      <c r="V27" s="14"/>
      <c r="W27" s="14"/>
      <c r="X27" s="14"/>
      <c r="Y27" s="14"/>
    </row>
    <row r="28" ht="14.25">
      <c r="H28" s="18" t="s">
        <v>0</v>
      </c>
      <c r="I28" t="s">
        <v>43</v>
      </c>
      <c r="J28" t="s">
        <v>44</v>
      </c>
      <c r="K28" t="s">
        <v>45</v>
      </c>
      <c r="L28" t="s">
        <v>46</v>
      </c>
      <c r="M28" t="s">
        <v>47</v>
      </c>
      <c r="O28" t="s">
        <v>43</v>
      </c>
      <c r="P28" t="s">
        <v>44</v>
      </c>
      <c r="Q28" t="s">
        <v>45</v>
      </c>
      <c r="R28" t="s">
        <v>46</v>
      </c>
      <c r="S28" t="s">
        <v>47</v>
      </c>
      <c r="U28" s="15" t="s">
        <v>43</v>
      </c>
      <c r="V28" s="15" t="s">
        <v>44</v>
      </c>
      <c r="W28" s="15" t="s">
        <v>45</v>
      </c>
      <c r="X28" s="15" t="s">
        <v>46</v>
      </c>
      <c r="Y28" s="15" t="s">
        <v>47</v>
      </c>
    </row>
    <row r="29" ht="14.25">
      <c r="H29" s="5" t="s">
        <v>27</v>
      </c>
      <c r="I29" s="16">
        <v>0.031099999999999999</v>
      </c>
      <c r="J29" s="16">
        <v>0.23760000000000001</v>
      </c>
      <c r="K29" s="16">
        <v>0.37579999999999997</v>
      </c>
      <c r="L29" s="16">
        <v>0.27479999999999999</v>
      </c>
      <c r="M29" s="16">
        <v>0.080700000000000008</v>
      </c>
      <c r="O29" s="16">
        <v>0.041605813229599359</v>
      </c>
      <c r="P29" s="16">
        <v>0.21990384615384617</v>
      </c>
      <c r="Q29" s="16">
        <v>0.33009615384615387</v>
      </c>
      <c r="R29" s="16">
        <v>0.31221153846153848</v>
      </c>
      <c r="S29" s="16">
        <v>0.097307692307692303</v>
      </c>
      <c r="U29" s="16">
        <f t="shared" ref="U29:U32" si="10">ABS(O29-I29)/I29</f>
        <v>0.33780749934403087</v>
      </c>
      <c r="V29" s="16">
        <f t="shared" ref="V29:V32" si="11">ABS(P29-J29)/J29</f>
        <v>0.074478761978761923</v>
      </c>
      <c r="W29" s="16">
        <f t="shared" ref="W29:W32" si="12">ABS(Q29-K29)/K29</f>
        <v>0.12161747246898909</v>
      </c>
      <c r="X29" s="16">
        <f t="shared" ref="X29:X32" si="13">ABS(R29-L29)/L29</f>
        <v>0.13614096965625364</v>
      </c>
      <c r="Y29" s="16">
        <f t="shared" ref="Y29:Y32" si="14">ABS(S29-M29)/M29</f>
        <v>0.20579544371365915</v>
      </c>
    </row>
    <row r="30" ht="14.25">
      <c r="H30" s="5" t="s">
        <v>28</v>
      </c>
      <c r="I30" s="16">
        <v>0.046900000000000004</v>
      </c>
      <c r="J30" s="16">
        <v>0.22969999999999999</v>
      </c>
      <c r="K30" s="16">
        <v>0.37340000000000001</v>
      </c>
      <c r="L30" s="16">
        <v>0.2641</v>
      </c>
      <c r="M30" s="16">
        <v>0.082799999999999999</v>
      </c>
      <c r="O30" s="16">
        <v>0.056569322270564194</v>
      </c>
      <c r="P30" s="16">
        <v>0.24557692307692311</v>
      </c>
      <c r="Q30" s="16">
        <v>0.34105769230769234</v>
      </c>
      <c r="R30" s="16">
        <v>0.28798076923076921</v>
      </c>
      <c r="S30" s="16">
        <v>0.070769230769230765</v>
      </c>
      <c r="U30" s="16">
        <f t="shared" si="10"/>
        <v>0.20616891834891662</v>
      </c>
      <c r="V30" s="16">
        <f t="shared" si="11"/>
        <v>0.069120257191654863</v>
      </c>
      <c r="W30" s="16">
        <f t="shared" si="12"/>
        <v>0.086615714226855031</v>
      </c>
      <c r="X30" s="16">
        <f t="shared" si="13"/>
        <v>0.090423207992310503</v>
      </c>
      <c r="Y30" s="16">
        <f t="shared" si="14"/>
        <v>0.14529914529914534</v>
      </c>
    </row>
    <row r="31" ht="14.25">
      <c r="H31" s="5" t="s">
        <v>29</v>
      </c>
      <c r="I31" s="16">
        <v>0.053499999999999999</v>
      </c>
      <c r="J31" s="16">
        <v>0.217</v>
      </c>
      <c r="K31" s="16">
        <v>0.41350000000000003</v>
      </c>
      <c r="L31" s="16">
        <v>0.25</v>
      </c>
      <c r="M31" s="16">
        <v>0.064500000000000002</v>
      </c>
      <c r="O31" s="16">
        <v>0.066058378500054526</v>
      </c>
      <c r="P31" s="16">
        <v>0.22509615384615386</v>
      </c>
      <c r="Q31" s="16">
        <v>0.35721153846153847</v>
      </c>
      <c r="R31" s="16">
        <v>0.26750000000000002</v>
      </c>
      <c r="S31" s="16">
        <v>0.085192307692307706</v>
      </c>
      <c r="U31" s="16">
        <f t="shared" si="10"/>
        <v>0.23473604672999118</v>
      </c>
      <c r="V31" s="16">
        <f t="shared" si="11"/>
        <v>0.037309464728819651</v>
      </c>
      <c r="W31" s="16">
        <f t="shared" si="12"/>
        <v>0.13612687191889131</v>
      </c>
      <c r="X31" s="16">
        <f t="shared" si="13"/>
        <v>0.070000000000000062</v>
      </c>
      <c r="Y31" s="16">
        <f t="shared" si="14"/>
        <v>0.32081097197376285</v>
      </c>
    </row>
    <row r="32" ht="14.25">
      <c r="H32" s="5" t="s">
        <v>30</v>
      </c>
      <c r="I32" s="16">
        <v>0.053800000000000001</v>
      </c>
      <c r="J32" s="16">
        <v>0.2437</v>
      </c>
      <c r="K32" s="16">
        <v>0.37659999999999999</v>
      </c>
      <c r="L32" s="16">
        <v>0.25950000000000001</v>
      </c>
      <c r="M32" s="16">
        <v>0.066500000000000004</v>
      </c>
      <c r="O32" s="16">
        <v>0.034306566262305806</v>
      </c>
      <c r="P32" s="16">
        <v>0.20980769230769233</v>
      </c>
      <c r="Q32" s="16">
        <v>0.3445192307692308</v>
      </c>
      <c r="R32" s="16">
        <v>0.30701923076923077</v>
      </c>
      <c r="S32" s="16">
        <v>0.10625</v>
      </c>
      <c r="U32" s="16">
        <f t="shared" si="10"/>
        <v>0.36233148211327498</v>
      </c>
      <c r="V32" s="16">
        <f t="shared" si="11"/>
        <v>0.13907389286954316</v>
      </c>
      <c r="W32" s="16">
        <f t="shared" si="12"/>
        <v>0.085185260835818358</v>
      </c>
      <c r="X32" s="16">
        <f t="shared" si="13"/>
        <v>0.18311842300281603</v>
      </c>
      <c r="Y32" s="16">
        <f t="shared" si="14"/>
        <v>0.59774436090225547</v>
      </c>
    </row>
    <row r="34" ht="14.25">
      <c r="O34" s="16"/>
      <c r="P34" s="16"/>
      <c r="Q34" s="16"/>
      <c r="R34" s="16"/>
      <c r="S34" s="16"/>
    </row>
    <row r="35" ht="14.25">
      <c r="O35" s="16"/>
      <c r="P35" s="16"/>
      <c r="Q35" s="16"/>
      <c r="R35" s="16"/>
      <c r="S35" s="16"/>
    </row>
    <row r="36" ht="14.25">
      <c r="O36" s="16"/>
      <c r="P36" s="16"/>
      <c r="Q36" s="16"/>
      <c r="R36" s="16"/>
      <c r="S36" s="16"/>
    </row>
    <row r="37" ht="14.25">
      <c r="O37" s="16"/>
      <c r="P37" s="16"/>
      <c r="Q37" s="16"/>
      <c r="R37" s="16"/>
      <c r="S37" s="16"/>
    </row>
  </sheetData>
  <mergeCells count="20">
    <mergeCell ref="C3:C4"/>
    <mergeCell ref="D3:E3"/>
    <mergeCell ref="F3:F4"/>
    <mergeCell ref="H3:I3"/>
    <mergeCell ref="J3:L3"/>
    <mergeCell ref="M3:N3"/>
    <mergeCell ref="O3:T3"/>
    <mergeCell ref="U3:X3"/>
    <mergeCell ref="C10:C11"/>
    <mergeCell ref="D10:E10"/>
    <mergeCell ref="J11:K11"/>
    <mergeCell ref="L11:M11"/>
    <mergeCell ref="N11:O11"/>
    <mergeCell ref="Q11:R11"/>
    <mergeCell ref="J19:M19"/>
    <mergeCell ref="O19:R19"/>
    <mergeCell ref="T19:W19"/>
    <mergeCell ref="I27:M27"/>
    <mergeCell ref="O27:S27"/>
    <mergeCell ref="U27:Y27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A1" activeCellId="0" sqref="A1"/>
    </sheetView>
  </sheetViews>
  <sheetFormatPr defaultRowHeight="14.25"/>
  <cols>
    <col bestFit="1" min="3" max="3" width="11.921875"/>
    <col bestFit="1" min="4" max="4" width="10.32421875"/>
    <col bestFit="1" min="6" max="6" width="22.203125"/>
  </cols>
  <sheetData>
    <row r="5">
      <c r="C5" t="s">
        <v>48</v>
      </c>
      <c r="D5" s="17" t="s">
        <v>49</v>
      </c>
      <c r="E5" t="s">
        <v>50</v>
      </c>
      <c r="F5" t="s">
        <v>51</v>
      </c>
    </row>
    <row r="6">
      <c r="C6">
        <v>1400</v>
      </c>
      <c r="D6" s="17">
        <f>Table1[[#This Row],[mc4 temp]]-273</f>
        <v>1127</v>
      </c>
      <c r="E6">
        <v>0.25030000000000002</v>
      </c>
      <c r="F6" s="19">
        <v>2.926e-06</v>
      </c>
    </row>
    <row r="7">
      <c r="C7">
        <v>1420</v>
      </c>
      <c r="D7" s="17">
        <f>Table1[[#This Row],[mc4 temp]]-273</f>
        <v>1147</v>
      </c>
      <c r="E7">
        <v>0.24579999999999999</v>
      </c>
      <c r="F7" s="19">
        <v>3.0228000000000001e-06</v>
      </c>
    </row>
    <row r="8">
      <c r="C8">
        <v>1673</v>
      </c>
      <c r="D8" s="17">
        <f>Table1[[#This Row],[mc4 temp]]-273</f>
        <v>1400</v>
      </c>
      <c r="E8">
        <v>0.098100000000000007</v>
      </c>
      <c r="F8" s="19">
        <v>8.9253000000000008e-06</v>
      </c>
    </row>
    <row r="9">
      <c r="C9">
        <v>1683</v>
      </c>
      <c r="D9" s="17">
        <f>Table1[[#This Row],[mc4 temp]]-273</f>
        <v>1410</v>
      </c>
      <c r="E9">
        <v>0.095699999999999993</v>
      </c>
      <c r="F9" s="19">
        <v>9.2024000000000002e-06</v>
      </c>
    </row>
    <row r="10">
      <c r="C10">
        <v>1693</v>
      </c>
      <c r="D10" s="17">
        <f>Table1[[#This Row],[mc4 temp]]-273</f>
        <v>1420</v>
      </c>
      <c r="E10">
        <v>0.0974</v>
      </c>
      <c r="F10" s="19">
        <v>9.0936000000000005e-06</v>
      </c>
    </row>
    <row r="11">
      <c r="C11">
        <v>1713</v>
      </c>
      <c r="D11" s="17">
        <f>Table1[[#This Row],[mc4 temp]]-273</f>
        <v>1440</v>
      </c>
      <c r="E11">
        <v>0.087599999999999997</v>
      </c>
      <c r="F11" s="19">
        <v>1.0234000000000001e-05</v>
      </c>
    </row>
    <row r="12">
      <c r="C12">
        <v>1733</v>
      </c>
      <c r="D12" s="17">
        <f>Table1[[#This Row],[mc4 temp]]-273</f>
        <v>1460</v>
      </c>
      <c r="E12">
        <v>0.085300000000000001</v>
      </c>
      <c r="F12" s="19">
        <v>1.0624e-05</v>
      </c>
    </row>
    <row r="13">
      <c r="C13">
        <v>1753</v>
      </c>
      <c r="D13" s="17">
        <f>Table1[[#This Row],[mc4 temp]]-273</f>
        <v>1480</v>
      </c>
      <c r="E13">
        <v>0.080199999999999994</v>
      </c>
      <c r="F13" s="19">
        <v>1.1430000000000001e-05</v>
      </c>
    </row>
    <row r="14">
      <c r="C14">
        <v>1773</v>
      </c>
      <c r="D14" s="17">
        <f>Table1[[#This Row],[mc4 temp]]-273</f>
        <v>1500</v>
      </c>
      <c r="E14">
        <v>0.076700000000000004</v>
      </c>
      <c r="F14" s="19">
        <v>1.2092999999999999e-05</v>
      </c>
    </row>
    <row r="15">
      <c r="C15">
        <v>1793</v>
      </c>
      <c r="D15" s="17">
        <f>Table1[[#This Row],[mc4 temp]]-273</f>
        <v>1520</v>
      </c>
      <c r="E15">
        <v>0.0722</v>
      </c>
      <c r="F15" s="19">
        <v>1.2992e-05</v>
      </c>
    </row>
    <row r="16">
      <c r="C16">
        <v>1813</v>
      </c>
      <c r="D16" s="17">
        <f>Table1[[#This Row],[mc4 temp]]-273</f>
        <v>1540</v>
      </c>
      <c r="E16">
        <v>0.073400000000000007</v>
      </c>
      <c r="F16" s="19">
        <v>1.2925000000000001e-05</v>
      </c>
    </row>
    <row r="17">
      <c r="C17">
        <v>1833</v>
      </c>
      <c r="D17" s="17">
        <f>Table1[[#This Row],[mc4 temp]]-273</f>
        <v>1560</v>
      </c>
      <c r="E17">
        <v>0.067799999999999999</v>
      </c>
      <c r="F17" s="19">
        <v>1.4147e-05</v>
      </c>
    </row>
    <row r="25">
      <c r="C25" t="s">
        <v>48</v>
      </c>
      <c r="D25" t="s">
        <v>49</v>
      </c>
      <c r="E25" t="s">
        <v>50</v>
      </c>
    </row>
    <row r="26">
      <c r="C26" s="15">
        <v>1673</v>
      </c>
      <c r="D26">
        <f>Table3[[#This Row],[mc4 temp]]-273</f>
        <v>1400</v>
      </c>
      <c r="E26" s="15">
        <v>0.098100000000000007</v>
      </c>
      <c r="F26">
        <v>16.25</v>
      </c>
    </row>
    <row r="27">
      <c r="C27" s="15">
        <v>1683</v>
      </c>
      <c r="D27">
        <f>Table3[[#This Row],[mc4 temp]]-273</f>
        <v>1410</v>
      </c>
      <c r="E27" s="15">
        <v>0.095699999999999993</v>
      </c>
    </row>
    <row r="28">
      <c r="C28" s="15">
        <v>1693</v>
      </c>
      <c r="D28">
        <f>Table3[[#This Row],[mc4 temp]]-273</f>
        <v>1420</v>
      </c>
      <c r="E28" s="15">
        <v>0.0974</v>
      </c>
    </row>
    <row r="29">
      <c r="C29" s="15">
        <v>1713</v>
      </c>
      <c r="D29">
        <f>Table3[[#This Row],[mc4 temp]]-273</f>
        <v>1440</v>
      </c>
      <c r="E29" s="15">
        <v>0.087599999999999997</v>
      </c>
    </row>
    <row r="30">
      <c r="C30" s="15">
        <v>1733</v>
      </c>
      <c r="D30">
        <f>Table3[[#This Row],[mc4 temp]]-273</f>
        <v>1460</v>
      </c>
      <c r="E30" s="15">
        <v>0.085300000000000001</v>
      </c>
    </row>
    <row r="31">
      <c r="C31" s="15">
        <v>1753</v>
      </c>
      <c r="D31">
        <f>Table3[[#This Row],[mc4 temp]]-273</f>
        <v>1480</v>
      </c>
      <c r="E31" s="15">
        <v>0.080199999999999994</v>
      </c>
    </row>
    <row r="32">
      <c r="C32" s="15">
        <v>1773</v>
      </c>
      <c r="D32">
        <f>Table3[[#This Row],[mc4 temp]]-273</f>
        <v>1500</v>
      </c>
      <c r="E32" s="15">
        <v>0.076700000000000004</v>
      </c>
    </row>
    <row r="33">
      <c r="C33" s="15">
        <v>1793</v>
      </c>
      <c r="D33">
        <f>Table3[[#This Row],[mc4 temp]]-273</f>
        <v>1520</v>
      </c>
      <c r="E33" s="15">
        <v>0.0722</v>
      </c>
    </row>
    <row r="34">
      <c r="C34" s="15">
        <v>1813</v>
      </c>
      <c r="D34">
        <f>Table3[[#This Row],[mc4 temp]]-273</f>
        <v>1540</v>
      </c>
      <c r="E34" s="15">
        <v>0.073400000000000007</v>
      </c>
    </row>
    <row r="35">
      <c r="C35" s="15">
        <v>1833</v>
      </c>
      <c r="D35">
        <f>Table3[[#This Row],[mc4 temp]]-273</f>
        <v>1560</v>
      </c>
      <c r="E35" s="15">
        <v>0.067799999999999999</v>
      </c>
    </row>
    <row r="39" ht="14.25">
      <c r="B39" t="s">
        <v>52</v>
      </c>
      <c r="C39" t="s">
        <v>53</v>
      </c>
      <c r="D39" t="s">
        <v>54</v>
      </c>
    </row>
    <row r="40" ht="14.25">
      <c r="B40" s="19">
        <v>1.3806490000000001e-23</v>
      </c>
      <c r="C40">
        <v>1.1035011670556851</v>
      </c>
      <c r="D40">
        <f>C40*10^(-10)</f>
        <v>1.1035011670556852e-10</v>
      </c>
    </row>
    <row r="42" ht="14.25">
      <c r="B42" t="s">
        <v>55</v>
      </c>
      <c r="C42" t="s">
        <v>56</v>
      </c>
      <c r="D42" t="s">
        <v>57</v>
      </c>
      <c r="E42" t="s">
        <v>58</v>
      </c>
    </row>
    <row r="43" ht="14.25">
      <c r="A43">
        <f t="shared" ref="A43:A52" si="15">B43-273</f>
        <v>1400</v>
      </c>
      <c r="B43" s="20">
        <v>1673</v>
      </c>
      <c r="C43" s="21">
        <v>8.9253000000000008e-06</v>
      </c>
      <c r="D43" s="19">
        <f t="shared" ref="D43:D52" si="16">C43*10^(-4)</f>
        <v>8.9253000000000002e-10</v>
      </c>
      <c r="E43">
        <f t="shared" ref="E43:E52" si="17">($B$40*B43)/(6*3.14*$D$40*D43)</f>
        <v>0.012448089601278498</v>
      </c>
      <c r="F43" s="22">
        <f t="shared" ref="F43:F52" si="18">E43*10</f>
        <v>0.12448089601278498</v>
      </c>
    </row>
    <row r="44" ht="14.25">
      <c r="A44">
        <f t="shared" si="15"/>
        <v>1410</v>
      </c>
      <c r="B44" s="23">
        <v>1683</v>
      </c>
      <c r="C44" s="24">
        <v>9.2024000000000002e-06</v>
      </c>
      <c r="D44" s="19">
        <f t="shared" si="16"/>
        <v>9.2023999999999992e-10</v>
      </c>
      <c r="E44">
        <f t="shared" si="17"/>
        <v>0.012145421647137802</v>
      </c>
      <c r="F44" s="22">
        <f t="shared" si="18"/>
        <v>0.12145421647137802</v>
      </c>
    </row>
    <row r="45" ht="14.25">
      <c r="A45">
        <f t="shared" si="15"/>
        <v>1420</v>
      </c>
      <c r="B45" s="25">
        <v>1693</v>
      </c>
      <c r="C45" s="21">
        <v>9.0936000000000005e-06</v>
      </c>
      <c r="D45" s="19">
        <f t="shared" si="16"/>
        <v>9.0935999999999995e-10</v>
      </c>
      <c r="E45">
        <f t="shared" si="17"/>
        <v>0.012363763769348857</v>
      </c>
      <c r="F45" s="22">
        <f t="shared" si="18"/>
        <v>0.12363763769348857</v>
      </c>
    </row>
    <row r="46" ht="14.25">
      <c r="A46">
        <f t="shared" si="15"/>
        <v>1440</v>
      </c>
      <c r="B46" s="23">
        <v>1713</v>
      </c>
      <c r="C46" s="24">
        <v>1.0234000000000001e-05</v>
      </c>
      <c r="D46" s="19">
        <f t="shared" si="16"/>
        <v>1.0234e-09</v>
      </c>
      <c r="E46">
        <f t="shared" si="17"/>
        <v>0.011115820823491357</v>
      </c>
      <c r="F46" s="22">
        <f t="shared" si="18"/>
        <v>0.11115820823491357</v>
      </c>
    </row>
    <row r="47" ht="14.25">
      <c r="A47">
        <f t="shared" si="15"/>
        <v>1460</v>
      </c>
      <c r="B47" s="25">
        <v>1733</v>
      </c>
      <c r="C47" s="21">
        <v>1.0624e-05</v>
      </c>
      <c r="D47" s="19">
        <f t="shared" si="16"/>
        <v>1.0624e-09</v>
      </c>
      <c r="E47">
        <f t="shared" si="17"/>
        <v>0.010832784111659484</v>
      </c>
      <c r="F47" s="22">
        <f t="shared" si="18"/>
        <v>0.10832784111659484</v>
      </c>
    </row>
    <row r="48" ht="14.25">
      <c r="A48">
        <f t="shared" si="15"/>
        <v>1480</v>
      </c>
      <c r="B48" s="23">
        <v>1753</v>
      </c>
      <c r="C48" s="24">
        <v>1.1430000000000001e-05</v>
      </c>
      <c r="D48" s="19">
        <f t="shared" si="16"/>
        <v>1.1429999999999999e-09</v>
      </c>
      <c r="E48">
        <f t="shared" si="17"/>
        <v>0.010185099431052504</v>
      </c>
      <c r="F48" s="22">
        <f t="shared" si="18"/>
        <v>0.10185099431052504</v>
      </c>
    </row>
    <row r="49" ht="14.25">
      <c r="A49">
        <f t="shared" si="15"/>
        <v>1500</v>
      </c>
      <c r="B49" s="25">
        <v>1773</v>
      </c>
      <c r="C49" s="21">
        <v>1.2092999999999999e-05</v>
      </c>
      <c r="D49" s="19">
        <f t="shared" si="16"/>
        <v>1.2092999999999997e-09</v>
      </c>
      <c r="E49">
        <f t="shared" si="17"/>
        <v>0.0097365314307111504</v>
      </c>
      <c r="F49" s="22">
        <f t="shared" si="18"/>
        <v>0.097365314307111511</v>
      </c>
    </row>
    <row r="50" ht="14.25">
      <c r="A50">
        <f t="shared" si="15"/>
        <v>1520</v>
      </c>
      <c r="B50" s="23">
        <v>1793</v>
      </c>
      <c r="C50" s="24">
        <v>1.2992e-05</v>
      </c>
      <c r="D50" s="19">
        <f t="shared" si="16"/>
        <v>1.2991999999999998e-09</v>
      </c>
      <c r="E50">
        <f t="shared" si="17"/>
        <v>0.0091650294555303043</v>
      </c>
      <c r="F50" s="22">
        <f t="shared" si="18"/>
        <v>0.091650294555303047</v>
      </c>
    </row>
    <row r="51" ht="14.25">
      <c r="A51">
        <f t="shared" si="15"/>
        <v>1540</v>
      </c>
      <c r="B51" s="25">
        <v>1813</v>
      </c>
      <c r="C51" s="21">
        <v>1.2925000000000001e-05</v>
      </c>
      <c r="D51" s="19">
        <f t="shared" si="16"/>
        <v>1.2925e-09</v>
      </c>
      <c r="E51">
        <f t="shared" si="17"/>
        <v>0.0093152998669949316</v>
      </c>
      <c r="F51" s="22">
        <f t="shared" si="18"/>
        <v>0.093152998669949319</v>
      </c>
    </row>
    <row r="52" ht="14.25">
      <c r="A52">
        <f t="shared" si="15"/>
        <v>1560</v>
      </c>
      <c r="B52" s="23">
        <v>1833</v>
      </c>
      <c r="C52" s="24">
        <v>1.4147e-05</v>
      </c>
      <c r="D52" s="19">
        <f t="shared" si="16"/>
        <v>1.4146999999999999e-09</v>
      </c>
      <c r="E52">
        <f t="shared" si="17"/>
        <v>0.0086045408125800006</v>
      </c>
      <c r="F52" s="22">
        <f t="shared" si="18"/>
        <v>0.086045408125799999</v>
      </c>
    </row>
    <row r="57" ht="14.25">
      <c r="B57" t="s">
        <v>59</v>
      </c>
      <c r="C57" t="s">
        <v>60</v>
      </c>
      <c r="D57" t="s">
        <v>61</v>
      </c>
    </row>
    <row r="58" ht="14.25">
      <c r="A58" t="s">
        <v>62</v>
      </c>
      <c r="B58" s="26">
        <v>0.40000000000000002</v>
      </c>
      <c r="D58" t="e">
        <f t="shared" ref="D58:D62" si="19">1/(B58*C58)</f>
        <v>#DIV/0!</v>
      </c>
    </row>
    <row r="59" ht="14.25">
      <c r="A59" t="s">
        <v>63</v>
      </c>
      <c r="B59" s="26">
        <v>0.53500000000000003</v>
      </c>
      <c r="D59" s="17" t="e">
        <f t="shared" si="19"/>
        <v>#DIV/0!</v>
      </c>
    </row>
    <row r="60" ht="14.25">
      <c r="A60" t="s">
        <v>64</v>
      </c>
      <c r="B60" s="26">
        <v>1</v>
      </c>
      <c r="D60" s="17" t="e">
        <f t="shared" si="19"/>
        <v>#DIV/0!</v>
      </c>
    </row>
    <row r="61" ht="14.25">
      <c r="A61" t="s">
        <v>65</v>
      </c>
      <c r="B61" s="26">
        <v>0.71999999999999997</v>
      </c>
      <c r="D61" s="17" t="e">
        <f t="shared" si="19"/>
        <v>#DIV/0!</v>
      </c>
      <c r="G61" t="s">
        <v>66</v>
      </c>
    </row>
    <row r="62" ht="14.25">
      <c r="A62" t="s">
        <v>67</v>
      </c>
      <c r="B62" s="26">
        <v>1.3999999999999999</v>
      </c>
      <c r="D62" s="17" t="e">
        <f t="shared" si="19"/>
        <v>#DIV/0!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0" zoomScale="100" workbookViewId="0">
      <selection activeCell="A1" activeCellId="0" sqref="A1"/>
    </sheetView>
  </sheetViews>
  <sheetFormatPr defaultRowHeight="14.25"/>
  <cols>
    <col bestFit="1" min="7" max="8" width="11.421875"/>
    <col bestFit="1" min="11" max="11" width="17.8515625"/>
    <col bestFit="1" min="12" max="12" width="10.3515625"/>
    <col bestFit="1" min="13" max="13" width="12.640625"/>
  </cols>
  <sheetData>
    <row r="5" ht="15">
      <c r="L5" t="s">
        <v>52</v>
      </c>
      <c r="M5" s="27">
        <f>1.380649*10^(-23)</f>
        <v>1.3806490000000001e-23</v>
      </c>
    </row>
    <row r="6" ht="14.25">
      <c r="L6" t="s">
        <v>55</v>
      </c>
      <c r="M6">
        <v>1823</v>
      </c>
    </row>
    <row r="7" ht="14.25">
      <c r="C7" s="15" t="s">
        <v>68</v>
      </c>
      <c r="D7" s="15" t="s">
        <v>69</v>
      </c>
      <c r="E7" s="15" t="s">
        <v>32</v>
      </c>
      <c r="F7" s="15" t="s">
        <v>70</v>
      </c>
      <c r="G7" s="15" t="s">
        <v>71</v>
      </c>
      <c r="H7" s="15" t="s">
        <v>33</v>
      </c>
      <c r="I7" s="15" t="s">
        <v>72</v>
      </c>
      <c r="J7" t="s">
        <v>73</v>
      </c>
      <c r="K7" t="s">
        <v>74</v>
      </c>
      <c r="L7" t="s">
        <v>57</v>
      </c>
      <c r="N7" t="s">
        <v>75</v>
      </c>
    </row>
    <row r="8" ht="14.25">
      <c r="C8" s="15" t="s">
        <v>76</v>
      </c>
      <c r="D8" s="15">
        <v>1084</v>
      </c>
      <c r="E8" s="15">
        <v>644</v>
      </c>
      <c r="F8" s="15">
        <v>206</v>
      </c>
      <c r="G8" s="15">
        <v>3472</v>
      </c>
      <c r="H8" s="15">
        <v>596</v>
      </c>
      <c r="I8" s="15">
        <v>6002</v>
      </c>
      <c r="J8" s="28">
        <f t="shared" ref="J8:J9" si="20">(D8*$D$12+E8*$E$12+F8*$F$12+G8*$G$12+H8*$H$12)/(D8+E8+F8+G8+H8)</f>
        <v>1.1112262579140284</v>
      </c>
      <c r="K8" s="9">
        <v>1.3801000000000001e-05</v>
      </c>
      <c r="L8">
        <f t="shared" ref="L8:L9" si="21">K8*10^(-4)</f>
        <v>1.3801e-09</v>
      </c>
      <c r="M8">
        <f t="shared" ref="M8:M9" si="22">($M$5*$M$6)/(6*3.14*J8*10^(-10)*L8)</f>
        <v>0.0087111602268108036</v>
      </c>
      <c r="N8">
        <f>M8*10</f>
        <v>0.087111602268108032</v>
      </c>
    </row>
    <row r="9" ht="14.25">
      <c r="C9" s="15" t="s">
        <v>77</v>
      </c>
      <c r="D9" s="15">
        <v>1028</v>
      </c>
      <c r="E9" s="15">
        <v>640</v>
      </c>
      <c r="F9" s="15">
        <v>272</v>
      </c>
      <c r="G9" s="15">
        <v>3468</v>
      </c>
      <c r="H9" s="15">
        <v>592</v>
      </c>
      <c r="I9" s="15">
        <v>6000</v>
      </c>
      <c r="J9" s="28">
        <f t="shared" si="20"/>
        <v>1.1086266666666666</v>
      </c>
      <c r="K9" s="9">
        <v>1.3876000000000001e-05</v>
      </c>
      <c r="L9">
        <f t="shared" si="21"/>
        <v>1.3875999999999998e-09</v>
      </c>
      <c r="M9">
        <f t="shared" si="22"/>
        <v>0.0086843924457949521</v>
      </c>
      <c r="N9">
        <f>M9*10</f>
        <v>0.086843924457949528</v>
      </c>
    </row>
    <row r="10" ht="14.25">
      <c r="C10" s="15" t="s">
        <v>78</v>
      </c>
      <c r="D10" s="15">
        <v>973</v>
      </c>
      <c r="E10" s="15">
        <v>636</v>
      </c>
      <c r="F10" s="15">
        <v>338</v>
      </c>
      <c r="G10" s="15">
        <v>3465</v>
      </c>
      <c r="H10" s="15">
        <v>588</v>
      </c>
      <c r="I10" s="15">
        <v>6000</v>
      </c>
      <c r="J10" s="28">
        <f t="shared" ref="J10:J11" si="23">(D10*$D$12+E10*$E$12+F10*$F$12+G10*$G$12+H10*$H$12)/(D10+E10+F10+G10+H10)</f>
        <v>1.1060566666666667</v>
      </c>
      <c r="K10" s="9">
        <v>1.4812e-05</v>
      </c>
      <c r="L10">
        <f t="shared" ref="L10:L11" si="24">K10*10^(-4)</f>
        <v>1.4811999999999998e-09</v>
      </c>
      <c r="M10">
        <f t="shared" ref="M10:M11" si="25">($M$5*$M$6)/(6*3.14*J10*10^(-10)*L10)</f>
        <v>0.0081545119167098327</v>
      </c>
      <c r="N10">
        <f t="shared" ref="N10:N11" si="26">M10*10</f>
        <v>0.081545119167098334</v>
      </c>
    </row>
    <row r="11" ht="14.25">
      <c r="C11" s="15" t="s">
        <v>79</v>
      </c>
      <c r="D11" s="15">
        <v>918</v>
      </c>
      <c r="E11" s="15">
        <v>632</v>
      </c>
      <c r="F11" s="15">
        <v>403</v>
      </c>
      <c r="G11" s="15">
        <v>3461</v>
      </c>
      <c r="H11" s="15">
        <v>584</v>
      </c>
      <c r="I11" s="15">
        <v>5998</v>
      </c>
      <c r="J11" s="28">
        <f t="shared" si="23"/>
        <v>1.1035011670556851</v>
      </c>
      <c r="K11" s="9">
        <v>1.5644000000000001e-05</v>
      </c>
      <c r="L11">
        <f t="shared" si="24"/>
        <v>1.5644000000000001e-09</v>
      </c>
      <c r="M11">
        <f t="shared" si="25"/>
        <v>0.0077387078003221289</v>
      </c>
      <c r="N11">
        <f t="shared" si="26"/>
        <v>0.077387078003221282</v>
      </c>
    </row>
    <row r="12" ht="14.25">
      <c r="C12" t="s">
        <v>80</v>
      </c>
      <c r="D12" s="15">
        <v>1</v>
      </c>
      <c r="E12" s="15">
        <v>0.40000000000000002</v>
      </c>
      <c r="F12" s="15">
        <v>0.71999999999999997</v>
      </c>
      <c r="G12" s="15">
        <v>1.3999999999999999</v>
      </c>
      <c r="H12" s="15">
        <v>0.53500000000000003</v>
      </c>
    </row>
    <row r="17" ht="14.25">
      <c r="D17" t="s">
        <v>27</v>
      </c>
      <c r="E17" s="29" t="s">
        <v>81</v>
      </c>
      <c r="F17" t="s">
        <v>82</v>
      </c>
      <c r="G17" t="s">
        <v>83</v>
      </c>
      <c r="H17" t="s">
        <v>84</v>
      </c>
    </row>
    <row r="18" ht="14.25">
      <c r="D18" s="15" t="s">
        <v>69</v>
      </c>
      <c r="E18">
        <v>1</v>
      </c>
      <c r="F18" s="19">
        <v>9.6419230000000002e-05</v>
      </c>
      <c r="G18">
        <f>($M$5*$M$6)/(6*3.14*E18*10^(-10)*F18)</f>
        <v>1.3855601813745457e-07</v>
      </c>
      <c r="H18">
        <f>G18*10</f>
        <v>1.3855601813745457e-06</v>
      </c>
    </row>
    <row r="19" ht="14.25">
      <c r="D19" s="15" t="s">
        <v>32</v>
      </c>
      <c r="E19">
        <v>0.40000000000000002</v>
      </c>
      <c r="F19" s="19">
        <v>2.215175e-05</v>
      </c>
      <c r="G19" s="30">
        <f>($M$5*$M$6)/(6*3.14*E19*10^(-10)*F19)</f>
        <v>1.5077211259470928e-06</v>
      </c>
      <c r="H19" s="30">
        <f>G19*10</f>
        <v>1.5077211259470927e-05</v>
      </c>
    </row>
    <row r="20" ht="14.25">
      <c r="D20" s="15" t="s">
        <v>70</v>
      </c>
      <c r="E20">
        <v>0.71999999999999997</v>
      </c>
      <c r="F20" s="19">
        <v>2.291762e-06</v>
      </c>
      <c r="G20" s="30">
        <f>($M$5*$M$6)/(6*3.14*E20*10^(-10)*F20)</f>
        <v>8.0963083939825719e-06</v>
      </c>
      <c r="H20" s="30">
        <f>G20*10</f>
        <v>8.0963083939825716e-05</v>
      </c>
    </row>
    <row r="21" ht="14.25">
      <c r="D21" s="15" t="s">
        <v>71</v>
      </c>
      <c r="E21">
        <v>1.3999999999999999</v>
      </c>
      <c r="F21" s="19">
        <v>0.0007592791</v>
      </c>
      <c r="G21" s="30">
        <f>($M$5*$M$6)/(6*3.14*E21*10^(-10)*F21)</f>
        <v>1.2567808992089064e-08</v>
      </c>
      <c r="H21" s="30">
        <f>G21*10</f>
        <v>1.2567808992089065e-07</v>
      </c>
    </row>
    <row r="22" ht="14.25">
      <c r="D22" s="15" t="s">
        <v>33</v>
      </c>
      <c r="E22">
        <v>0.53500000000000003</v>
      </c>
      <c r="F22" s="19">
        <v>1.7539189999999999e-05</v>
      </c>
      <c r="G22" s="30">
        <f>($M$5*$M$6)/(6*3.14*E22*10^(-10)*F22)</f>
        <v>1.4237237770413356e-06</v>
      </c>
      <c r="H22" s="30">
        <f>G22*10</f>
        <v>1.4237237770413357e-05</v>
      </c>
    </row>
    <row r="25" ht="14.25">
      <c r="D25" t="s">
        <v>85</v>
      </c>
      <c r="E25" t="s">
        <v>86</v>
      </c>
    </row>
    <row r="26" ht="14.25">
      <c r="D26" t="s">
        <v>83</v>
      </c>
      <c r="E26" t="s">
        <v>87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10</cp:revision>
  <dcterms:modified xsi:type="dcterms:W3CDTF">2026-04-30T18:14:47Z</dcterms:modified>
</cp:coreProperties>
</file>