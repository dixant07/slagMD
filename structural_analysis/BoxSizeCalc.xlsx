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ikshant\Desktop\Mtech2ndSem\Microstructural Evaluation\capstone-project\paper implementation\SlagMD\equilibrate\nvt\"/>
    </mc:Choice>
  </mc:AlternateContent>
  <xr:revisionPtr revIDLastSave="0" documentId="13_ncr:1_{90D55EF5-7628-4FFB-932F-7C870B98E8BD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atom_calc" sheetId="5" r:id="rId1"/>
    <sheet name="pair_coeff" sheetId="6" r:id="rId2"/>
    <sheet name="bond length" sheetId="4" r:id="rId3"/>
    <sheet name="po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2" i="6"/>
  <c r="K16" i="6"/>
  <c r="M16" i="6"/>
  <c r="K15" i="6"/>
  <c r="M15" i="6"/>
  <c r="K14" i="6"/>
  <c r="M14" i="6"/>
  <c r="K13" i="6"/>
  <c r="M13" i="6"/>
  <c r="M3" i="6"/>
  <c r="M4" i="6"/>
  <c r="M5" i="6"/>
  <c r="M6" i="6"/>
  <c r="M7" i="6"/>
  <c r="M8" i="6"/>
  <c r="M9" i="6"/>
  <c r="M10" i="6"/>
  <c r="M11" i="6"/>
  <c r="M12" i="6"/>
  <c r="M2" i="6"/>
  <c r="K3" i="6"/>
  <c r="K4" i="6"/>
  <c r="K5" i="6"/>
  <c r="K6" i="6"/>
  <c r="K7" i="6"/>
  <c r="K8" i="6"/>
  <c r="K9" i="6"/>
  <c r="K10" i="6"/>
  <c r="K11" i="6"/>
  <c r="K12" i="6"/>
  <c r="K2" i="6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F20" i="5"/>
  <c r="E20" i="5"/>
  <c r="D20" i="5"/>
  <c r="C20" i="5"/>
  <c r="B20" i="5"/>
  <c r="G16" i="5"/>
  <c r="G17" i="5"/>
  <c r="G18" i="5"/>
  <c r="G15" i="5"/>
  <c r="H4" i="5"/>
  <c r="R14" i="5"/>
  <c r="Q14" i="5"/>
  <c r="W14" i="5" s="1"/>
  <c r="P14" i="5"/>
  <c r="V14" i="5" s="1"/>
  <c r="O14" i="5"/>
  <c r="U14" i="5" s="1"/>
  <c r="X14" i="5" s="1"/>
  <c r="R13" i="5"/>
  <c r="Q13" i="5"/>
  <c r="W13" i="5" s="1"/>
  <c r="P13" i="5"/>
  <c r="V13" i="5" s="1"/>
  <c r="O13" i="5"/>
  <c r="U13" i="5" s="1"/>
  <c r="X13" i="5" s="1"/>
  <c r="R12" i="5"/>
  <c r="Q12" i="5"/>
  <c r="W12" i="5" s="1"/>
  <c r="P12" i="5"/>
  <c r="V12" i="5" s="1"/>
  <c r="O12" i="5"/>
  <c r="U12" i="5" s="1"/>
  <c r="X12" i="5" s="1"/>
  <c r="F12" i="5"/>
  <c r="R25" i="5" s="1"/>
  <c r="E12" i="5"/>
  <c r="D12" i="5"/>
  <c r="C12" i="5"/>
  <c r="B12" i="5"/>
  <c r="R11" i="5"/>
  <c r="Q11" i="5"/>
  <c r="W11" i="5" s="1"/>
  <c r="P11" i="5"/>
  <c r="V11" i="5" s="1"/>
  <c r="O11" i="5"/>
  <c r="U11" i="5" s="1"/>
  <c r="X11" i="5" s="1"/>
  <c r="F11" i="5"/>
  <c r="R24" i="5" s="1"/>
  <c r="E11" i="5"/>
  <c r="D11" i="5"/>
  <c r="C11" i="5"/>
  <c r="B11" i="5"/>
  <c r="F10" i="5"/>
  <c r="R23" i="5" s="1"/>
  <c r="E10" i="5"/>
  <c r="D10" i="5"/>
  <c r="C10" i="5"/>
  <c r="B10" i="5"/>
  <c r="F9" i="5"/>
  <c r="E9" i="5"/>
  <c r="D9" i="5"/>
  <c r="C9" i="5"/>
  <c r="H7" i="5"/>
  <c r="I7" i="5" s="1"/>
  <c r="J7" i="5" s="1"/>
  <c r="H6" i="5"/>
  <c r="I6" i="5" s="1"/>
  <c r="J6" i="5" s="1"/>
  <c r="H5" i="5"/>
  <c r="I5" i="5" s="1"/>
  <c r="J5" i="5" s="1"/>
  <c r="C19" i="4"/>
  <c r="E19" i="4"/>
  <c r="F19" i="4"/>
  <c r="G19" i="4"/>
  <c r="H19" i="4"/>
  <c r="D19" i="4"/>
  <c r="B19" i="4"/>
  <c r="Q25" i="5" l="1"/>
  <c r="O25" i="5"/>
  <c r="P25" i="5"/>
  <c r="H18" i="5"/>
  <c r="Q24" i="5"/>
  <c r="O24" i="5"/>
  <c r="H17" i="5"/>
  <c r="P24" i="5"/>
  <c r="Q23" i="5"/>
  <c r="O23" i="5"/>
  <c r="H16" i="5"/>
  <c r="P23" i="5"/>
  <c r="V23" i="5" s="1"/>
  <c r="Q22" i="5"/>
  <c r="O22" i="5"/>
  <c r="B9" i="5"/>
  <c r="I4" i="5"/>
  <c r="J4" i="5" s="1"/>
  <c r="U24" i="5" l="1"/>
  <c r="U23" i="5"/>
  <c r="V25" i="5"/>
  <c r="W24" i="5"/>
  <c r="P22" i="5"/>
  <c r="I18" i="5"/>
  <c r="J18" i="5" s="1"/>
  <c r="W25" i="5"/>
  <c r="U25" i="5"/>
  <c r="I17" i="5"/>
  <c r="J17" i="5" s="1"/>
  <c r="V24" i="5"/>
  <c r="X24" i="5" s="1"/>
  <c r="I16" i="5"/>
  <c r="J16" i="5" s="1"/>
  <c r="W23" i="5"/>
  <c r="X23" i="5" s="1"/>
  <c r="X25" i="5" l="1"/>
  <c r="H15" i="5" l="1"/>
  <c r="R22" i="5"/>
  <c r="I15" i="5" l="1"/>
  <c r="J15" i="5" s="1"/>
  <c r="V22" i="5"/>
  <c r="U22" i="5"/>
  <c r="W22" i="5"/>
  <c r="X22" i="5" l="1"/>
</calcChain>
</file>

<file path=xl/sharedStrings.xml><?xml version="1.0" encoding="utf-8"?>
<sst xmlns="http://schemas.openxmlformats.org/spreadsheetml/2006/main" count="175" uniqueCount="49">
  <si>
    <t>Slag</t>
  </si>
  <si>
    <t>Ca</t>
  </si>
  <si>
    <t>Si</t>
  </si>
  <si>
    <t>Mg</t>
  </si>
  <si>
    <t>O</t>
  </si>
  <si>
    <t>Al</t>
  </si>
  <si>
    <t>MC1</t>
  </si>
  <si>
    <t>MC2</t>
  </si>
  <si>
    <t>MC3</t>
  </si>
  <si>
    <t>MC4</t>
  </si>
  <si>
    <t>Total</t>
  </si>
  <si>
    <t>Mass</t>
  </si>
  <si>
    <t>Density</t>
  </si>
  <si>
    <t>g/cm3</t>
  </si>
  <si>
    <t>Total Mass (amu)</t>
  </si>
  <si>
    <t>Total Volume (m3)</t>
  </si>
  <si>
    <t>Box Length (A)</t>
  </si>
  <si>
    <t>SiO2</t>
  </si>
  <si>
    <t>CaO</t>
  </si>
  <si>
    <t>MgO</t>
  </si>
  <si>
    <t>Al2O3</t>
  </si>
  <si>
    <t>Fraction (%)</t>
  </si>
  <si>
    <t>Angle (deg)</t>
  </si>
  <si>
    <t>O-Si-O Concentration (%)</t>
  </si>
  <si>
    <t>O-Al-O Concentration (%)</t>
  </si>
  <si>
    <t>mc1</t>
  </si>
  <si>
    <t>mc2</t>
  </si>
  <si>
    <t>mc3</t>
  </si>
  <si>
    <t>mc4</t>
  </si>
  <si>
    <t>si-o</t>
  </si>
  <si>
    <t>al-o</t>
  </si>
  <si>
    <t>si-o-si</t>
  </si>
  <si>
    <t>si-o-al</t>
  </si>
  <si>
    <t>al-o-al</t>
  </si>
  <si>
    <t>aas</t>
  </si>
  <si>
    <t>aaa</t>
  </si>
  <si>
    <t>R</t>
  </si>
  <si>
    <t>-</t>
  </si>
  <si>
    <t>avg</t>
  </si>
  <si>
    <t>1.70 1.82    1.73    1.80    1.84 1.91 1.93</t>
  </si>
  <si>
    <t>Atom</t>
  </si>
  <si>
    <t>Q (e)</t>
  </si>
  <si>
    <t>A (Å)</t>
  </si>
  <si>
    <t>B (Å)</t>
  </si>
  <si>
    <t>C (Å³(kJ/mol)¹/²)</t>
  </si>
  <si>
    <t>Aij</t>
  </si>
  <si>
    <t>rho(i,j)</t>
  </si>
  <si>
    <t>Cij</t>
  </si>
  <si>
    <t>sigma(i,j)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</si>
</sst>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2" fontId="0" fillId="2" borderId="0" xfId="0" applyNumberFormat="1" applyFill="1"/>
    <xf numFmtId="0" fontId="0" fillId="2" borderId="0" xfId="0" applyFill="1"/>
    <xf numFmtId="1" fontId="0" fillId="0" borderId="0" xfId="0" applyNumberFormat="1"/>
    <xf numFmtId="9" fontId="0" fillId="0" borderId="0" xfId="1" applyFont="1"/>
    <xf numFmtId="0" fontId="0" fillId="3" borderId="0" xfId="0" applyFill="1"/>
    <xf numFmtId="9" fontId="0" fillId="2" borderId="0" xfId="1" applyFont="1" applyFill="1"/>
    <xf numFmtId="0" fontId="0" fillId="2" borderId="1" xfId="0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post!$H$2</c:f>
              <c:strCache>
                <c:ptCount val="1"/>
                <c:pt idx="0">
                  <c:v>mc1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post!$G$3:$G$182</c:f>
              <c:numCache>
                <c:formatCode>General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cat>
          <c:val>
            <c:numRef>
              <c:f>post!$H$3:$H$182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0.34129999999999999</c:v>
                </c:pt>
                <c:pt idx="74">
                  <c:v>0.68259999999999998</c:v>
                </c:pt>
                <c:pt idx="75">
                  <c:v>0</c:v>
                </c:pt>
                <c:pt idx="76">
                  <c:v>0.34129999999999999</c:v>
                </c:pt>
                <c:pt idx="77">
                  <c:v>1.3652</c:v>
                </c:pt>
                <c:pt idx="78">
                  <c:v>0</c:v>
                </c:pt>
                <c:pt idx="79">
                  <c:v>1.0239</c:v>
                </c:pt>
                <c:pt idx="80">
                  <c:v>0</c:v>
                </c:pt>
                <c:pt idx="81">
                  <c:v>0.68259999999999998</c:v>
                </c:pt>
                <c:pt idx="82">
                  <c:v>1.0239</c:v>
                </c:pt>
                <c:pt idx="83">
                  <c:v>1.0239</c:v>
                </c:pt>
                <c:pt idx="84">
                  <c:v>1.3652</c:v>
                </c:pt>
                <c:pt idx="85">
                  <c:v>1.3652</c:v>
                </c:pt>
                <c:pt idx="86">
                  <c:v>0.68259999999999998</c:v>
                </c:pt>
                <c:pt idx="87">
                  <c:v>1.0239</c:v>
                </c:pt>
                <c:pt idx="88">
                  <c:v>0.68259999999999998</c:v>
                </c:pt>
                <c:pt idx="89">
                  <c:v>0.34129999999999999</c:v>
                </c:pt>
                <c:pt idx="90">
                  <c:v>0.68259999999999998</c:v>
                </c:pt>
                <c:pt idx="91">
                  <c:v>2.0478000000000001</c:v>
                </c:pt>
                <c:pt idx="92">
                  <c:v>1.3652</c:v>
                </c:pt>
                <c:pt idx="93">
                  <c:v>0.68259999999999998</c:v>
                </c:pt>
                <c:pt idx="94">
                  <c:v>1.7064999999999999</c:v>
                </c:pt>
                <c:pt idx="95">
                  <c:v>2.3891</c:v>
                </c:pt>
                <c:pt idx="96">
                  <c:v>1.3652</c:v>
                </c:pt>
                <c:pt idx="97">
                  <c:v>3.0716999999999999</c:v>
                </c:pt>
                <c:pt idx="98">
                  <c:v>2.0478000000000001</c:v>
                </c:pt>
                <c:pt idx="99">
                  <c:v>1.7064999999999999</c:v>
                </c:pt>
                <c:pt idx="100">
                  <c:v>1.3652</c:v>
                </c:pt>
                <c:pt idx="101">
                  <c:v>2.7303999999999999</c:v>
                </c:pt>
                <c:pt idx="102">
                  <c:v>3.7543000000000002</c:v>
                </c:pt>
                <c:pt idx="103">
                  <c:v>4.0956000000000001</c:v>
                </c:pt>
                <c:pt idx="104">
                  <c:v>2.0478000000000001</c:v>
                </c:pt>
                <c:pt idx="105">
                  <c:v>2.0478000000000001</c:v>
                </c:pt>
                <c:pt idx="106">
                  <c:v>1.3652</c:v>
                </c:pt>
                <c:pt idx="107">
                  <c:v>3.0716999999999999</c:v>
                </c:pt>
                <c:pt idx="108">
                  <c:v>2.3891</c:v>
                </c:pt>
                <c:pt idx="109">
                  <c:v>2.0478000000000001</c:v>
                </c:pt>
                <c:pt idx="110">
                  <c:v>1.7064999999999999</c:v>
                </c:pt>
                <c:pt idx="111">
                  <c:v>3.4129999999999998</c:v>
                </c:pt>
                <c:pt idx="112">
                  <c:v>1.7064999999999999</c:v>
                </c:pt>
                <c:pt idx="113">
                  <c:v>3.4129999999999998</c:v>
                </c:pt>
                <c:pt idx="114">
                  <c:v>2.0478000000000001</c:v>
                </c:pt>
                <c:pt idx="115">
                  <c:v>2.0478000000000001</c:v>
                </c:pt>
                <c:pt idx="116">
                  <c:v>1.0239</c:v>
                </c:pt>
                <c:pt idx="117">
                  <c:v>1.0239</c:v>
                </c:pt>
                <c:pt idx="118">
                  <c:v>1.7064999999999999</c:v>
                </c:pt>
                <c:pt idx="119">
                  <c:v>2.7303999999999999</c:v>
                </c:pt>
                <c:pt idx="120">
                  <c:v>0.68259999999999998</c:v>
                </c:pt>
                <c:pt idx="121">
                  <c:v>1.7064999999999999</c:v>
                </c:pt>
                <c:pt idx="122">
                  <c:v>1.7064999999999999</c:v>
                </c:pt>
                <c:pt idx="123">
                  <c:v>1.0239</c:v>
                </c:pt>
                <c:pt idx="124">
                  <c:v>1.3652</c:v>
                </c:pt>
                <c:pt idx="125">
                  <c:v>0.34129999999999999</c:v>
                </c:pt>
                <c:pt idx="126">
                  <c:v>1.0239</c:v>
                </c:pt>
                <c:pt idx="127">
                  <c:v>1.7064999999999999</c:v>
                </c:pt>
                <c:pt idx="128">
                  <c:v>1.3652</c:v>
                </c:pt>
                <c:pt idx="129">
                  <c:v>0.34129999999999999</c:v>
                </c:pt>
                <c:pt idx="130">
                  <c:v>2.0478000000000001</c:v>
                </c:pt>
                <c:pt idx="131">
                  <c:v>1.3652</c:v>
                </c:pt>
                <c:pt idx="132">
                  <c:v>0.68259999999999998</c:v>
                </c:pt>
                <c:pt idx="133">
                  <c:v>0.68259999999999998</c:v>
                </c:pt>
                <c:pt idx="134">
                  <c:v>0.34129999999999999</c:v>
                </c:pt>
                <c:pt idx="135">
                  <c:v>0</c:v>
                </c:pt>
                <c:pt idx="136">
                  <c:v>1.0239</c:v>
                </c:pt>
                <c:pt idx="137">
                  <c:v>1.3652</c:v>
                </c:pt>
                <c:pt idx="138">
                  <c:v>1.3652</c:v>
                </c:pt>
                <c:pt idx="139">
                  <c:v>0</c:v>
                </c:pt>
                <c:pt idx="140">
                  <c:v>0.34129999999999999</c:v>
                </c:pt>
                <c:pt idx="141">
                  <c:v>0</c:v>
                </c:pt>
                <c:pt idx="142">
                  <c:v>0.34129999999999999</c:v>
                </c:pt>
                <c:pt idx="143">
                  <c:v>1.7064999999999999</c:v>
                </c:pt>
                <c:pt idx="144">
                  <c:v>0.34129999999999999</c:v>
                </c:pt>
                <c:pt idx="145">
                  <c:v>0</c:v>
                </c:pt>
                <c:pt idx="146">
                  <c:v>0.34129999999999999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0.68259999999999998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0.34129999999999999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0.34129999999999999</c:v>
                </c:pt>
                <c:pt idx="162">
                  <c:v>0</c:v>
                </c:pt>
                <c:pt idx="163">
                  <c:v>0</c:v>
                </c:pt>
                <c:pt idx="164">
                  <c:v>0.34129999999999999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0.34129999999999999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A-455D-A1BB-B78E58244F3E}"/>
            </c:ext>
          </c:extLst>
        </c:ser>
        <c:ser>
          <c:idx val="1"/>
          <c:order val="1"/>
          <c:tx>
            <c:strRef>
              <c:f>post!$I$2</c:f>
              <c:strCache>
                <c:ptCount val="1"/>
                <c:pt idx="0">
                  <c:v>mc2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post!$G$3:$G$182</c:f>
              <c:numCache>
                <c:formatCode>General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cat>
          <c:val>
            <c:numRef>
              <c:f>post!$I$3:$I$182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0.37740000000000001</c:v>
                </c:pt>
                <c:pt idx="76">
                  <c:v>0</c:v>
                </c:pt>
                <c:pt idx="77">
                  <c:v>0.37740000000000001</c:v>
                </c:pt>
                <c:pt idx="78">
                  <c:v>0.37740000000000001</c:v>
                </c:pt>
                <c:pt idx="79">
                  <c:v>0.37740000000000001</c:v>
                </c:pt>
                <c:pt idx="80">
                  <c:v>1.5094000000000001</c:v>
                </c:pt>
                <c:pt idx="81">
                  <c:v>0.37740000000000001</c:v>
                </c:pt>
                <c:pt idx="82">
                  <c:v>0.37740000000000001</c:v>
                </c:pt>
                <c:pt idx="83">
                  <c:v>0.75470000000000004</c:v>
                </c:pt>
                <c:pt idx="84">
                  <c:v>1.5094000000000001</c:v>
                </c:pt>
                <c:pt idx="85">
                  <c:v>0.75470000000000004</c:v>
                </c:pt>
                <c:pt idx="86">
                  <c:v>0.75470000000000004</c:v>
                </c:pt>
                <c:pt idx="87">
                  <c:v>0.75470000000000004</c:v>
                </c:pt>
                <c:pt idx="88">
                  <c:v>1.5094000000000001</c:v>
                </c:pt>
                <c:pt idx="89">
                  <c:v>1.5094000000000001</c:v>
                </c:pt>
                <c:pt idx="90">
                  <c:v>1.1321000000000001</c:v>
                </c:pt>
                <c:pt idx="91">
                  <c:v>2.2642000000000002</c:v>
                </c:pt>
                <c:pt idx="92">
                  <c:v>0.75470000000000004</c:v>
                </c:pt>
                <c:pt idx="93">
                  <c:v>1.5094000000000001</c:v>
                </c:pt>
                <c:pt idx="94">
                  <c:v>1.5094000000000001</c:v>
                </c:pt>
                <c:pt idx="95">
                  <c:v>1.8868</c:v>
                </c:pt>
                <c:pt idx="96">
                  <c:v>1.8868</c:v>
                </c:pt>
                <c:pt idx="97">
                  <c:v>3.3961999999999999</c:v>
                </c:pt>
                <c:pt idx="98">
                  <c:v>1.1321000000000001</c:v>
                </c:pt>
                <c:pt idx="99">
                  <c:v>2.2642000000000002</c:v>
                </c:pt>
                <c:pt idx="100">
                  <c:v>1.8868</c:v>
                </c:pt>
                <c:pt idx="101">
                  <c:v>2.2642000000000002</c:v>
                </c:pt>
                <c:pt idx="102">
                  <c:v>1.1321000000000001</c:v>
                </c:pt>
                <c:pt idx="103">
                  <c:v>3.3961999999999999</c:v>
                </c:pt>
                <c:pt idx="104">
                  <c:v>3.0188999999999999</c:v>
                </c:pt>
                <c:pt idx="105">
                  <c:v>1.5094000000000001</c:v>
                </c:pt>
                <c:pt idx="106">
                  <c:v>2.6415000000000002</c:v>
                </c:pt>
                <c:pt idx="107">
                  <c:v>1.5094000000000001</c:v>
                </c:pt>
                <c:pt idx="108">
                  <c:v>2.2642000000000002</c:v>
                </c:pt>
                <c:pt idx="109">
                  <c:v>1.8868</c:v>
                </c:pt>
                <c:pt idx="110">
                  <c:v>3.0188999999999999</c:v>
                </c:pt>
                <c:pt idx="111">
                  <c:v>0.75470000000000004</c:v>
                </c:pt>
                <c:pt idx="112">
                  <c:v>2.2642000000000002</c:v>
                </c:pt>
                <c:pt idx="113">
                  <c:v>2.2642000000000002</c:v>
                </c:pt>
                <c:pt idx="114">
                  <c:v>1.1321000000000001</c:v>
                </c:pt>
                <c:pt idx="115">
                  <c:v>2.6415000000000002</c:v>
                </c:pt>
                <c:pt idx="116">
                  <c:v>1.8868</c:v>
                </c:pt>
                <c:pt idx="117">
                  <c:v>2.6415000000000002</c:v>
                </c:pt>
                <c:pt idx="118">
                  <c:v>2.6415000000000002</c:v>
                </c:pt>
                <c:pt idx="119">
                  <c:v>0.37740000000000001</c:v>
                </c:pt>
                <c:pt idx="120">
                  <c:v>1.5094000000000001</c:v>
                </c:pt>
                <c:pt idx="121">
                  <c:v>1.5094000000000001</c:v>
                </c:pt>
                <c:pt idx="122">
                  <c:v>1.8868</c:v>
                </c:pt>
                <c:pt idx="123">
                  <c:v>3.0188999999999999</c:v>
                </c:pt>
                <c:pt idx="124">
                  <c:v>1.1321000000000001</c:v>
                </c:pt>
                <c:pt idx="125">
                  <c:v>1.8868</c:v>
                </c:pt>
                <c:pt idx="126">
                  <c:v>0.75470000000000004</c:v>
                </c:pt>
                <c:pt idx="127">
                  <c:v>0.37740000000000001</c:v>
                </c:pt>
                <c:pt idx="128">
                  <c:v>1.8868</c:v>
                </c:pt>
                <c:pt idx="129">
                  <c:v>2.2642000000000002</c:v>
                </c:pt>
                <c:pt idx="130">
                  <c:v>0.75470000000000004</c:v>
                </c:pt>
                <c:pt idx="131">
                  <c:v>2.2642000000000002</c:v>
                </c:pt>
                <c:pt idx="132">
                  <c:v>1.5094000000000001</c:v>
                </c:pt>
                <c:pt idx="133">
                  <c:v>1.1321000000000001</c:v>
                </c:pt>
                <c:pt idx="134">
                  <c:v>0.75470000000000004</c:v>
                </c:pt>
                <c:pt idx="135">
                  <c:v>0.37740000000000001</c:v>
                </c:pt>
                <c:pt idx="136">
                  <c:v>0.37740000000000001</c:v>
                </c:pt>
                <c:pt idx="137">
                  <c:v>0.75470000000000004</c:v>
                </c:pt>
                <c:pt idx="138">
                  <c:v>0</c:v>
                </c:pt>
                <c:pt idx="139">
                  <c:v>1.1321000000000001</c:v>
                </c:pt>
                <c:pt idx="140">
                  <c:v>0</c:v>
                </c:pt>
                <c:pt idx="141">
                  <c:v>0</c:v>
                </c:pt>
                <c:pt idx="142">
                  <c:v>0.37740000000000001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0.37740000000000001</c:v>
                </c:pt>
                <c:pt idx="148">
                  <c:v>1.1321000000000001</c:v>
                </c:pt>
                <c:pt idx="149">
                  <c:v>0.37740000000000001</c:v>
                </c:pt>
                <c:pt idx="150">
                  <c:v>0</c:v>
                </c:pt>
                <c:pt idx="151">
                  <c:v>0</c:v>
                </c:pt>
                <c:pt idx="152">
                  <c:v>0.37740000000000001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0.37740000000000001</c:v>
                </c:pt>
                <c:pt idx="161">
                  <c:v>0</c:v>
                </c:pt>
                <c:pt idx="162">
                  <c:v>0.37740000000000001</c:v>
                </c:pt>
                <c:pt idx="163">
                  <c:v>0</c:v>
                </c:pt>
                <c:pt idx="164">
                  <c:v>0</c:v>
                </c:pt>
                <c:pt idx="165">
                  <c:v>0.75470000000000004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0.37740000000000001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A-455D-A1BB-B78E58244F3E}"/>
            </c:ext>
          </c:extLst>
        </c:ser>
        <c:ser>
          <c:idx val="2"/>
          <c:order val="2"/>
          <c:tx>
            <c:strRef>
              <c:f>post!$J$2</c:f>
              <c:strCache>
                <c:ptCount val="1"/>
                <c:pt idx="0">
                  <c:v>mc3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post!$G$3:$G$182</c:f>
              <c:numCache>
                <c:formatCode>General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cat>
          <c:val>
            <c:numRef>
              <c:f>post!$J$3:$J$182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0.3846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0.76919999999999999</c:v>
                </c:pt>
                <c:pt idx="79">
                  <c:v>0.3846</c:v>
                </c:pt>
                <c:pt idx="80">
                  <c:v>1.5385</c:v>
                </c:pt>
                <c:pt idx="81">
                  <c:v>0.3846</c:v>
                </c:pt>
                <c:pt idx="82">
                  <c:v>0.76919999999999999</c:v>
                </c:pt>
                <c:pt idx="83">
                  <c:v>0.76919999999999999</c:v>
                </c:pt>
                <c:pt idx="84">
                  <c:v>0</c:v>
                </c:pt>
                <c:pt idx="85">
                  <c:v>0.76919999999999999</c:v>
                </c:pt>
                <c:pt idx="86">
                  <c:v>0.3846</c:v>
                </c:pt>
                <c:pt idx="87">
                  <c:v>1.5385</c:v>
                </c:pt>
                <c:pt idx="88">
                  <c:v>1.9231</c:v>
                </c:pt>
                <c:pt idx="89">
                  <c:v>2.3077000000000001</c:v>
                </c:pt>
                <c:pt idx="90">
                  <c:v>2.6922999999999999</c:v>
                </c:pt>
                <c:pt idx="91">
                  <c:v>2.3077000000000001</c:v>
                </c:pt>
                <c:pt idx="92">
                  <c:v>0.76919999999999999</c:v>
                </c:pt>
                <c:pt idx="93">
                  <c:v>1.9231</c:v>
                </c:pt>
                <c:pt idx="94">
                  <c:v>1.1537999999999999</c:v>
                </c:pt>
                <c:pt idx="95">
                  <c:v>1.1537999999999999</c:v>
                </c:pt>
                <c:pt idx="96">
                  <c:v>1.9231</c:v>
                </c:pt>
                <c:pt idx="97">
                  <c:v>1.1537999999999999</c:v>
                </c:pt>
                <c:pt idx="98">
                  <c:v>2.3077000000000001</c:v>
                </c:pt>
                <c:pt idx="99">
                  <c:v>0.3846</c:v>
                </c:pt>
                <c:pt idx="100">
                  <c:v>2.6922999999999999</c:v>
                </c:pt>
                <c:pt idx="101">
                  <c:v>1.5385</c:v>
                </c:pt>
                <c:pt idx="102">
                  <c:v>1.9231</c:v>
                </c:pt>
                <c:pt idx="103">
                  <c:v>2.6922999999999999</c:v>
                </c:pt>
                <c:pt idx="104">
                  <c:v>3.0769000000000002</c:v>
                </c:pt>
                <c:pt idx="105">
                  <c:v>1.9231</c:v>
                </c:pt>
                <c:pt idx="106">
                  <c:v>2.3077000000000001</c:v>
                </c:pt>
                <c:pt idx="107">
                  <c:v>2.6922999999999999</c:v>
                </c:pt>
                <c:pt idx="108">
                  <c:v>1.9231</c:v>
                </c:pt>
                <c:pt idx="109">
                  <c:v>1.9231</c:v>
                </c:pt>
                <c:pt idx="110">
                  <c:v>2.3077000000000001</c:v>
                </c:pt>
                <c:pt idx="111">
                  <c:v>1.9231</c:v>
                </c:pt>
                <c:pt idx="112">
                  <c:v>2.3077000000000001</c:v>
                </c:pt>
                <c:pt idx="113">
                  <c:v>1.9231</c:v>
                </c:pt>
                <c:pt idx="114">
                  <c:v>2.6922999999999999</c:v>
                </c:pt>
                <c:pt idx="115">
                  <c:v>1.1537999999999999</c:v>
                </c:pt>
                <c:pt idx="116">
                  <c:v>3.0769000000000002</c:v>
                </c:pt>
                <c:pt idx="117">
                  <c:v>1.9231</c:v>
                </c:pt>
                <c:pt idx="118">
                  <c:v>2.6922999999999999</c:v>
                </c:pt>
                <c:pt idx="119">
                  <c:v>1.5385</c:v>
                </c:pt>
                <c:pt idx="120">
                  <c:v>1.1537999999999999</c:v>
                </c:pt>
                <c:pt idx="121">
                  <c:v>2.6922999999999999</c:v>
                </c:pt>
                <c:pt idx="122">
                  <c:v>1.9231</c:v>
                </c:pt>
                <c:pt idx="123">
                  <c:v>2.6922999999999999</c:v>
                </c:pt>
                <c:pt idx="124">
                  <c:v>0.76919999999999999</c:v>
                </c:pt>
                <c:pt idx="125">
                  <c:v>1.5385</c:v>
                </c:pt>
                <c:pt idx="126">
                  <c:v>1.9231</c:v>
                </c:pt>
                <c:pt idx="127">
                  <c:v>1.1537999999999999</c:v>
                </c:pt>
                <c:pt idx="128">
                  <c:v>0</c:v>
                </c:pt>
                <c:pt idx="129">
                  <c:v>0.3846</c:v>
                </c:pt>
                <c:pt idx="130">
                  <c:v>1.1537999999999999</c:v>
                </c:pt>
                <c:pt idx="131">
                  <c:v>0.3846</c:v>
                </c:pt>
                <c:pt idx="132">
                  <c:v>1.5385</c:v>
                </c:pt>
                <c:pt idx="133">
                  <c:v>1.9231</c:v>
                </c:pt>
                <c:pt idx="134">
                  <c:v>1.5385</c:v>
                </c:pt>
                <c:pt idx="135">
                  <c:v>0.3846</c:v>
                </c:pt>
                <c:pt idx="136">
                  <c:v>1.1537999999999999</c:v>
                </c:pt>
                <c:pt idx="137">
                  <c:v>1.5385</c:v>
                </c:pt>
                <c:pt idx="138">
                  <c:v>1.1537999999999999</c:v>
                </c:pt>
                <c:pt idx="139">
                  <c:v>0</c:v>
                </c:pt>
                <c:pt idx="140">
                  <c:v>0.76919999999999999</c:v>
                </c:pt>
                <c:pt idx="141">
                  <c:v>0</c:v>
                </c:pt>
                <c:pt idx="142">
                  <c:v>0</c:v>
                </c:pt>
                <c:pt idx="143">
                  <c:v>0.3846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0.3846</c:v>
                </c:pt>
                <c:pt idx="148">
                  <c:v>0</c:v>
                </c:pt>
                <c:pt idx="149">
                  <c:v>0</c:v>
                </c:pt>
                <c:pt idx="150">
                  <c:v>0.3846</c:v>
                </c:pt>
                <c:pt idx="151">
                  <c:v>0</c:v>
                </c:pt>
                <c:pt idx="152">
                  <c:v>0</c:v>
                </c:pt>
                <c:pt idx="153">
                  <c:v>0.3846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0.3846</c:v>
                </c:pt>
                <c:pt idx="159">
                  <c:v>0</c:v>
                </c:pt>
                <c:pt idx="160">
                  <c:v>0.3846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A-455D-A1BB-B78E58244F3E}"/>
            </c:ext>
          </c:extLst>
        </c:ser>
        <c:ser>
          <c:idx val="3"/>
          <c:order val="3"/>
          <c:tx>
            <c:strRef>
              <c:f>post!$K$2</c:f>
              <c:strCache>
                <c:ptCount val="1"/>
                <c:pt idx="0">
                  <c:v>mc4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post!$G$3:$G$182</c:f>
              <c:numCache>
                <c:formatCode>General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cat>
          <c:val>
            <c:numRef>
              <c:f>post!$K$3:$K$182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0.34720000000000001</c:v>
                </c:pt>
                <c:pt idx="78">
                  <c:v>1.0417000000000001</c:v>
                </c:pt>
                <c:pt idx="79">
                  <c:v>0.34720000000000001</c:v>
                </c:pt>
                <c:pt idx="80">
                  <c:v>1.7361</c:v>
                </c:pt>
                <c:pt idx="81">
                  <c:v>0</c:v>
                </c:pt>
                <c:pt idx="82">
                  <c:v>0.69440000000000002</c:v>
                </c:pt>
                <c:pt idx="83">
                  <c:v>0.34720000000000001</c:v>
                </c:pt>
                <c:pt idx="84">
                  <c:v>0.34720000000000001</c:v>
                </c:pt>
                <c:pt idx="85">
                  <c:v>1.0417000000000001</c:v>
                </c:pt>
                <c:pt idx="86">
                  <c:v>1.3889</c:v>
                </c:pt>
                <c:pt idx="87">
                  <c:v>1.3889</c:v>
                </c:pt>
                <c:pt idx="88">
                  <c:v>1.3889</c:v>
                </c:pt>
                <c:pt idx="89">
                  <c:v>0.69440000000000002</c:v>
                </c:pt>
                <c:pt idx="90">
                  <c:v>1.0417000000000001</c:v>
                </c:pt>
                <c:pt idx="91">
                  <c:v>2.0832999999999999</c:v>
                </c:pt>
                <c:pt idx="92">
                  <c:v>1.3889</c:v>
                </c:pt>
                <c:pt idx="93">
                  <c:v>1.0417000000000001</c:v>
                </c:pt>
                <c:pt idx="94">
                  <c:v>2.4306000000000001</c:v>
                </c:pt>
                <c:pt idx="95">
                  <c:v>1.0417000000000001</c:v>
                </c:pt>
                <c:pt idx="96">
                  <c:v>2.0832999999999999</c:v>
                </c:pt>
                <c:pt idx="97">
                  <c:v>1.0417000000000001</c:v>
                </c:pt>
                <c:pt idx="98">
                  <c:v>2.0832999999999999</c:v>
                </c:pt>
                <c:pt idx="99">
                  <c:v>2.7778</c:v>
                </c:pt>
                <c:pt idx="100">
                  <c:v>1.7361</c:v>
                </c:pt>
                <c:pt idx="101">
                  <c:v>2.7778</c:v>
                </c:pt>
                <c:pt idx="102">
                  <c:v>4.1666999999999996</c:v>
                </c:pt>
                <c:pt idx="103">
                  <c:v>2.7778</c:v>
                </c:pt>
                <c:pt idx="104">
                  <c:v>1.7361</c:v>
                </c:pt>
                <c:pt idx="105">
                  <c:v>1.7361</c:v>
                </c:pt>
                <c:pt idx="106">
                  <c:v>2.4306000000000001</c:v>
                </c:pt>
                <c:pt idx="107">
                  <c:v>3.4722</c:v>
                </c:pt>
                <c:pt idx="108">
                  <c:v>2.0832999999999999</c:v>
                </c:pt>
                <c:pt idx="109">
                  <c:v>2.0832999999999999</c:v>
                </c:pt>
                <c:pt idx="110">
                  <c:v>3.8193999999999999</c:v>
                </c:pt>
                <c:pt idx="111">
                  <c:v>2.4306000000000001</c:v>
                </c:pt>
                <c:pt idx="112">
                  <c:v>4.1666999999999996</c:v>
                </c:pt>
                <c:pt idx="113">
                  <c:v>2.4306000000000001</c:v>
                </c:pt>
                <c:pt idx="114">
                  <c:v>2.0832999999999999</c:v>
                </c:pt>
                <c:pt idx="115">
                  <c:v>3.8193999999999999</c:v>
                </c:pt>
                <c:pt idx="116">
                  <c:v>0.69440000000000002</c:v>
                </c:pt>
                <c:pt idx="117">
                  <c:v>2.7778</c:v>
                </c:pt>
                <c:pt idx="118">
                  <c:v>2.4306000000000001</c:v>
                </c:pt>
                <c:pt idx="119">
                  <c:v>1.0417000000000001</c:v>
                </c:pt>
                <c:pt idx="120">
                  <c:v>1.7361</c:v>
                </c:pt>
                <c:pt idx="121">
                  <c:v>1.7361</c:v>
                </c:pt>
                <c:pt idx="122">
                  <c:v>0.69440000000000002</c:v>
                </c:pt>
                <c:pt idx="123">
                  <c:v>0.69440000000000002</c:v>
                </c:pt>
                <c:pt idx="124">
                  <c:v>2.4306000000000001</c:v>
                </c:pt>
                <c:pt idx="125">
                  <c:v>1.3889</c:v>
                </c:pt>
                <c:pt idx="126">
                  <c:v>0.69440000000000002</c:v>
                </c:pt>
                <c:pt idx="127">
                  <c:v>0</c:v>
                </c:pt>
                <c:pt idx="128">
                  <c:v>0.69440000000000002</c:v>
                </c:pt>
                <c:pt idx="129">
                  <c:v>0.34720000000000001</c:v>
                </c:pt>
                <c:pt idx="130">
                  <c:v>0</c:v>
                </c:pt>
                <c:pt idx="131">
                  <c:v>0</c:v>
                </c:pt>
                <c:pt idx="132">
                  <c:v>1.0417000000000001</c:v>
                </c:pt>
                <c:pt idx="133">
                  <c:v>2.0832999999999999</c:v>
                </c:pt>
                <c:pt idx="134">
                  <c:v>0.69440000000000002</c:v>
                </c:pt>
                <c:pt idx="135">
                  <c:v>0.69440000000000002</c:v>
                </c:pt>
                <c:pt idx="136">
                  <c:v>0</c:v>
                </c:pt>
                <c:pt idx="137">
                  <c:v>0.34720000000000001</c:v>
                </c:pt>
                <c:pt idx="138">
                  <c:v>0.69440000000000002</c:v>
                </c:pt>
                <c:pt idx="139">
                  <c:v>0</c:v>
                </c:pt>
                <c:pt idx="140">
                  <c:v>0.69440000000000002</c:v>
                </c:pt>
                <c:pt idx="141">
                  <c:v>0.34720000000000001</c:v>
                </c:pt>
                <c:pt idx="142">
                  <c:v>0.69440000000000002</c:v>
                </c:pt>
                <c:pt idx="143">
                  <c:v>0.34720000000000001</c:v>
                </c:pt>
                <c:pt idx="144">
                  <c:v>0</c:v>
                </c:pt>
                <c:pt idx="145">
                  <c:v>0.34720000000000001</c:v>
                </c:pt>
                <c:pt idx="146">
                  <c:v>0.69440000000000002</c:v>
                </c:pt>
                <c:pt idx="147">
                  <c:v>0</c:v>
                </c:pt>
                <c:pt idx="148">
                  <c:v>1.0417000000000001</c:v>
                </c:pt>
                <c:pt idx="149">
                  <c:v>0</c:v>
                </c:pt>
                <c:pt idx="150">
                  <c:v>0.34720000000000001</c:v>
                </c:pt>
                <c:pt idx="151">
                  <c:v>0.34720000000000001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0.34720000000000001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0.34720000000000001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1A-455D-A1BB-B78E5824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628895"/>
        <c:axId val="2082630815"/>
      </c:areaChart>
      <c:catAx>
        <c:axId val="20826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30815"/>
        <c:crosses val="autoZero"/>
        <c:auto val="1"/>
        <c:lblAlgn val="ctr"/>
        <c:lblOffset val="100"/>
        <c:noMultiLvlLbl val="0"/>
      </c:catAx>
      <c:valAx>
        <c:axId val="208263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28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post!$B$2</c:f>
              <c:strCache>
                <c:ptCount val="1"/>
                <c:pt idx="0">
                  <c:v>mc1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post!$A$3:$A$182</c:f>
              <c:numCache>
                <c:formatCode>General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cat>
          <c:val>
            <c:numRef>
              <c:f>post!$B$3:$B$182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1.3021</c:v>
                </c:pt>
                <c:pt idx="89">
                  <c:v>1.3021</c:v>
                </c:pt>
                <c:pt idx="90">
                  <c:v>0.78120000000000001</c:v>
                </c:pt>
                <c:pt idx="91">
                  <c:v>1.3021</c:v>
                </c:pt>
                <c:pt idx="92">
                  <c:v>1.3021</c:v>
                </c:pt>
                <c:pt idx="93">
                  <c:v>1.8229</c:v>
                </c:pt>
                <c:pt idx="94">
                  <c:v>1.0417000000000001</c:v>
                </c:pt>
                <c:pt idx="95">
                  <c:v>1.8229</c:v>
                </c:pt>
                <c:pt idx="96">
                  <c:v>2.6042000000000001</c:v>
                </c:pt>
                <c:pt idx="97">
                  <c:v>2.8645999999999998</c:v>
                </c:pt>
                <c:pt idx="98">
                  <c:v>1.3021</c:v>
                </c:pt>
                <c:pt idx="99">
                  <c:v>2.3437999999999999</c:v>
                </c:pt>
                <c:pt idx="100">
                  <c:v>3.9062000000000001</c:v>
                </c:pt>
                <c:pt idx="101">
                  <c:v>3.6457999999999999</c:v>
                </c:pt>
                <c:pt idx="102">
                  <c:v>4.4271000000000003</c:v>
                </c:pt>
                <c:pt idx="103">
                  <c:v>2.6042000000000001</c:v>
                </c:pt>
                <c:pt idx="104">
                  <c:v>4.6875</c:v>
                </c:pt>
                <c:pt idx="105">
                  <c:v>3.3854000000000002</c:v>
                </c:pt>
                <c:pt idx="106">
                  <c:v>4.1666999999999996</c:v>
                </c:pt>
                <c:pt idx="107">
                  <c:v>3.125</c:v>
                </c:pt>
                <c:pt idx="108">
                  <c:v>2.6042000000000001</c:v>
                </c:pt>
                <c:pt idx="109">
                  <c:v>2.0832999999999999</c:v>
                </c:pt>
                <c:pt idx="110">
                  <c:v>3.3854000000000002</c:v>
                </c:pt>
                <c:pt idx="111">
                  <c:v>4.1666999999999996</c:v>
                </c:pt>
                <c:pt idx="112">
                  <c:v>3.9062000000000001</c:v>
                </c:pt>
                <c:pt idx="113">
                  <c:v>3.6457999999999999</c:v>
                </c:pt>
                <c:pt idx="114">
                  <c:v>3.6457999999999999</c:v>
                </c:pt>
                <c:pt idx="115">
                  <c:v>2.0832999999999999</c:v>
                </c:pt>
                <c:pt idx="116">
                  <c:v>1.8229</c:v>
                </c:pt>
                <c:pt idx="117">
                  <c:v>3.125</c:v>
                </c:pt>
                <c:pt idx="118">
                  <c:v>1.8229</c:v>
                </c:pt>
                <c:pt idx="119">
                  <c:v>1.5625</c:v>
                </c:pt>
                <c:pt idx="120">
                  <c:v>1.8229</c:v>
                </c:pt>
                <c:pt idx="121">
                  <c:v>2.6042000000000001</c:v>
                </c:pt>
                <c:pt idx="122">
                  <c:v>1.5625</c:v>
                </c:pt>
                <c:pt idx="123">
                  <c:v>1.0417000000000001</c:v>
                </c:pt>
                <c:pt idx="124">
                  <c:v>2.0832999999999999</c:v>
                </c:pt>
                <c:pt idx="125">
                  <c:v>0.52080000000000004</c:v>
                </c:pt>
                <c:pt idx="126">
                  <c:v>1.3021</c:v>
                </c:pt>
                <c:pt idx="127">
                  <c:v>1.3021</c:v>
                </c:pt>
                <c:pt idx="128">
                  <c:v>0.52080000000000004</c:v>
                </c:pt>
                <c:pt idx="129">
                  <c:v>0</c:v>
                </c:pt>
                <c:pt idx="130">
                  <c:v>1.0417000000000001</c:v>
                </c:pt>
                <c:pt idx="131">
                  <c:v>0</c:v>
                </c:pt>
                <c:pt idx="132">
                  <c:v>0</c:v>
                </c:pt>
                <c:pt idx="133">
                  <c:v>0.52080000000000004</c:v>
                </c:pt>
                <c:pt idx="134">
                  <c:v>0.52080000000000004</c:v>
                </c:pt>
                <c:pt idx="135">
                  <c:v>0</c:v>
                </c:pt>
                <c:pt idx="136">
                  <c:v>0</c:v>
                </c:pt>
                <c:pt idx="137">
                  <c:v>0.26040000000000002</c:v>
                </c:pt>
                <c:pt idx="138">
                  <c:v>0</c:v>
                </c:pt>
                <c:pt idx="139">
                  <c:v>0</c:v>
                </c:pt>
                <c:pt idx="140">
                  <c:v>0.26040000000000002</c:v>
                </c:pt>
                <c:pt idx="141">
                  <c:v>0.26040000000000002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0.26040000000000002</c:v>
                </c:pt>
                <c:pt idx="148">
                  <c:v>0</c:v>
                </c:pt>
                <c:pt idx="149">
                  <c:v>0.26040000000000002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0.26040000000000002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6-4DED-832B-5683462E3769}"/>
            </c:ext>
          </c:extLst>
        </c:ser>
        <c:ser>
          <c:idx val="1"/>
          <c:order val="1"/>
          <c:tx>
            <c:strRef>
              <c:f>post!$C$2</c:f>
              <c:strCache>
                <c:ptCount val="1"/>
                <c:pt idx="0">
                  <c:v>mc2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post!$A$3:$A$182</c:f>
              <c:numCache>
                <c:formatCode>General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cat>
          <c:val>
            <c:numRef>
              <c:f>post!$C$3:$C$182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0.2646</c:v>
                </c:pt>
                <c:pt idx="85">
                  <c:v>0</c:v>
                </c:pt>
                <c:pt idx="86">
                  <c:v>0.52910000000000001</c:v>
                </c:pt>
                <c:pt idx="87">
                  <c:v>0</c:v>
                </c:pt>
                <c:pt idx="88">
                  <c:v>0.2646</c:v>
                </c:pt>
                <c:pt idx="89">
                  <c:v>0.52910000000000001</c:v>
                </c:pt>
                <c:pt idx="90">
                  <c:v>0.52910000000000001</c:v>
                </c:pt>
                <c:pt idx="91">
                  <c:v>1.8519000000000001</c:v>
                </c:pt>
                <c:pt idx="92">
                  <c:v>1.5872999999999999</c:v>
                </c:pt>
                <c:pt idx="93">
                  <c:v>0.79369999999999996</c:v>
                </c:pt>
                <c:pt idx="94">
                  <c:v>1.5872999999999999</c:v>
                </c:pt>
                <c:pt idx="95">
                  <c:v>1.3228</c:v>
                </c:pt>
                <c:pt idx="96">
                  <c:v>2.1164000000000001</c:v>
                </c:pt>
                <c:pt idx="97">
                  <c:v>3.1745999999999999</c:v>
                </c:pt>
                <c:pt idx="98">
                  <c:v>1.8519000000000001</c:v>
                </c:pt>
                <c:pt idx="99">
                  <c:v>2.3809999999999998</c:v>
                </c:pt>
                <c:pt idx="100">
                  <c:v>1.5872999999999999</c:v>
                </c:pt>
                <c:pt idx="101">
                  <c:v>4.2328000000000001</c:v>
                </c:pt>
                <c:pt idx="102">
                  <c:v>2.6455000000000002</c:v>
                </c:pt>
                <c:pt idx="103">
                  <c:v>5.5556000000000001</c:v>
                </c:pt>
                <c:pt idx="104">
                  <c:v>2.3809999999999998</c:v>
                </c:pt>
                <c:pt idx="105">
                  <c:v>4.2328000000000001</c:v>
                </c:pt>
                <c:pt idx="106">
                  <c:v>2.6455000000000002</c:v>
                </c:pt>
                <c:pt idx="107">
                  <c:v>4.7618999999999998</c:v>
                </c:pt>
                <c:pt idx="108">
                  <c:v>3.7037</c:v>
                </c:pt>
                <c:pt idx="109">
                  <c:v>2.6455000000000002</c:v>
                </c:pt>
                <c:pt idx="110">
                  <c:v>3.4392</c:v>
                </c:pt>
                <c:pt idx="111">
                  <c:v>3.1745999999999999</c:v>
                </c:pt>
                <c:pt idx="112">
                  <c:v>5.8201000000000001</c:v>
                </c:pt>
                <c:pt idx="113">
                  <c:v>2.9100999999999999</c:v>
                </c:pt>
                <c:pt idx="114">
                  <c:v>3.9683000000000002</c:v>
                </c:pt>
                <c:pt idx="115">
                  <c:v>3.7037</c:v>
                </c:pt>
                <c:pt idx="116">
                  <c:v>3.7037</c:v>
                </c:pt>
                <c:pt idx="117">
                  <c:v>2.1164000000000001</c:v>
                </c:pt>
                <c:pt idx="118">
                  <c:v>2.1164000000000001</c:v>
                </c:pt>
                <c:pt idx="119">
                  <c:v>1.5872999999999999</c:v>
                </c:pt>
                <c:pt idx="120">
                  <c:v>2.1164000000000001</c:v>
                </c:pt>
                <c:pt idx="121">
                  <c:v>1.8519000000000001</c:v>
                </c:pt>
                <c:pt idx="122">
                  <c:v>1.3228</c:v>
                </c:pt>
                <c:pt idx="123">
                  <c:v>1.3228</c:v>
                </c:pt>
                <c:pt idx="124">
                  <c:v>1.0582</c:v>
                </c:pt>
                <c:pt idx="125">
                  <c:v>0.52910000000000001</c:v>
                </c:pt>
                <c:pt idx="126">
                  <c:v>1.3228</c:v>
                </c:pt>
                <c:pt idx="127">
                  <c:v>0.52910000000000001</c:v>
                </c:pt>
                <c:pt idx="128">
                  <c:v>0.2646</c:v>
                </c:pt>
                <c:pt idx="129">
                  <c:v>0.79369999999999996</c:v>
                </c:pt>
                <c:pt idx="130">
                  <c:v>0.79369999999999996</c:v>
                </c:pt>
                <c:pt idx="131">
                  <c:v>0.79369999999999996</c:v>
                </c:pt>
                <c:pt idx="132">
                  <c:v>0.2646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0.2646</c:v>
                </c:pt>
                <c:pt idx="140">
                  <c:v>0</c:v>
                </c:pt>
                <c:pt idx="141">
                  <c:v>0</c:v>
                </c:pt>
                <c:pt idx="142">
                  <c:v>0.2646</c:v>
                </c:pt>
                <c:pt idx="143">
                  <c:v>0</c:v>
                </c:pt>
                <c:pt idx="144">
                  <c:v>0.2646</c:v>
                </c:pt>
                <c:pt idx="145">
                  <c:v>0.2646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0.2646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B6-4DED-832B-5683462E3769}"/>
            </c:ext>
          </c:extLst>
        </c:ser>
        <c:ser>
          <c:idx val="2"/>
          <c:order val="2"/>
          <c:tx>
            <c:strRef>
              <c:f>post!$D$2</c:f>
              <c:strCache>
                <c:ptCount val="1"/>
                <c:pt idx="0">
                  <c:v>mc3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post!$A$3:$A$182</c:f>
              <c:numCache>
                <c:formatCode>General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cat>
          <c:val>
            <c:numRef>
              <c:f>post!$D$3:$D$182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0.26879999999999998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0.26879999999999998</c:v>
                </c:pt>
                <c:pt idx="84">
                  <c:v>0</c:v>
                </c:pt>
                <c:pt idx="85">
                  <c:v>0.26879999999999998</c:v>
                </c:pt>
                <c:pt idx="86">
                  <c:v>1.3441000000000001</c:v>
                </c:pt>
                <c:pt idx="87">
                  <c:v>0.26879999999999998</c:v>
                </c:pt>
                <c:pt idx="88">
                  <c:v>0.53759999999999997</c:v>
                </c:pt>
                <c:pt idx="89">
                  <c:v>0.26879999999999998</c:v>
                </c:pt>
                <c:pt idx="90">
                  <c:v>0.26879999999999998</c:v>
                </c:pt>
                <c:pt idx="91">
                  <c:v>1.0752999999999999</c:v>
                </c:pt>
                <c:pt idx="92">
                  <c:v>0.80649999999999999</c:v>
                </c:pt>
                <c:pt idx="93">
                  <c:v>1.6129</c:v>
                </c:pt>
                <c:pt idx="94">
                  <c:v>1.8816999999999999</c:v>
                </c:pt>
                <c:pt idx="95">
                  <c:v>2.6882000000000001</c:v>
                </c:pt>
                <c:pt idx="96">
                  <c:v>1.0752999999999999</c:v>
                </c:pt>
                <c:pt idx="97">
                  <c:v>2.1505000000000001</c:v>
                </c:pt>
                <c:pt idx="98">
                  <c:v>2.6882000000000001</c:v>
                </c:pt>
                <c:pt idx="99">
                  <c:v>4.0323000000000002</c:v>
                </c:pt>
                <c:pt idx="100">
                  <c:v>2.6882000000000001</c:v>
                </c:pt>
                <c:pt idx="101">
                  <c:v>2.6882000000000001</c:v>
                </c:pt>
                <c:pt idx="102">
                  <c:v>2.6882000000000001</c:v>
                </c:pt>
                <c:pt idx="103">
                  <c:v>4.3010999999999999</c:v>
                </c:pt>
                <c:pt idx="104">
                  <c:v>2.6882000000000001</c:v>
                </c:pt>
                <c:pt idx="105">
                  <c:v>5.6452</c:v>
                </c:pt>
                <c:pt idx="106">
                  <c:v>4.5698999999999996</c:v>
                </c:pt>
                <c:pt idx="107">
                  <c:v>4.0323000000000002</c:v>
                </c:pt>
                <c:pt idx="108">
                  <c:v>3.2258</c:v>
                </c:pt>
                <c:pt idx="109">
                  <c:v>2.9569999999999999</c:v>
                </c:pt>
                <c:pt idx="110">
                  <c:v>2.1505000000000001</c:v>
                </c:pt>
                <c:pt idx="111">
                  <c:v>3.7633999999999999</c:v>
                </c:pt>
                <c:pt idx="112">
                  <c:v>2.9569999999999999</c:v>
                </c:pt>
                <c:pt idx="113">
                  <c:v>2.4194</c:v>
                </c:pt>
                <c:pt idx="114">
                  <c:v>2.9569999999999999</c:v>
                </c:pt>
                <c:pt idx="115">
                  <c:v>2.6882000000000001</c:v>
                </c:pt>
                <c:pt idx="116">
                  <c:v>2.4194</c:v>
                </c:pt>
                <c:pt idx="117">
                  <c:v>1.8816999999999999</c:v>
                </c:pt>
                <c:pt idx="118">
                  <c:v>2.6882000000000001</c:v>
                </c:pt>
                <c:pt idx="119">
                  <c:v>1.3441000000000001</c:v>
                </c:pt>
                <c:pt idx="120">
                  <c:v>2.9569999999999999</c:v>
                </c:pt>
                <c:pt idx="121">
                  <c:v>1.0752999999999999</c:v>
                </c:pt>
                <c:pt idx="122">
                  <c:v>2.1505000000000001</c:v>
                </c:pt>
                <c:pt idx="123">
                  <c:v>0.80649999999999999</c:v>
                </c:pt>
                <c:pt idx="124">
                  <c:v>1.0752999999999999</c:v>
                </c:pt>
                <c:pt idx="125">
                  <c:v>1.0752999999999999</c:v>
                </c:pt>
                <c:pt idx="126">
                  <c:v>1.3441000000000001</c:v>
                </c:pt>
                <c:pt idx="127">
                  <c:v>0.53759999999999997</c:v>
                </c:pt>
                <c:pt idx="128">
                  <c:v>0.80649999999999999</c:v>
                </c:pt>
                <c:pt idx="129">
                  <c:v>0.53759999999999997</c:v>
                </c:pt>
                <c:pt idx="130">
                  <c:v>0.80649999999999999</c:v>
                </c:pt>
                <c:pt idx="131">
                  <c:v>0.53759999999999997</c:v>
                </c:pt>
                <c:pt idx="132">
                  <c:v>0.80649999999999999</c:v>
                </c:pt>
                <c:pt idx="133">
                  <c:v>0.53759999999999997</c:v>
                </c:pt>
                <c:pt idx="134">
                  <c:v>0.80649999999999999</c:v>
                </c:pt>
                <c:pt idx="135">
                  <c:v>0.26879999999999998</c:v>
                </c:pt>
                <c:pt idx="136">
                  <c:v>0</c:v>
                </c:pt>
                <c:pt idx="137">
                  <c:v>0.26879999999999998</c:v>
                </c:pt>
                <c:pt idx="138">
                  <c:v>0.26879999999999998</c:v>
                </c:pt>
                <c:pt idx="139">
                  <c:v>0.53759999999999997</c:v>
                </c:pt>
                <c:pt idx="140">
                  <c:v>0.26879999999999998</c:v>
                </c:pt>
                <c:pt idx="141">
                  <c:v>0.26879999999999998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B6-4DED-832B-5683462E3769}"/>
            </c:ext>
          </c:extLst>
        </c:ser>
        <c:ser>
          <c:idx val="3"/>
          <c:order val="3"/>
          <c:tx>
            <c:strRef>
              <c:f>post!$E$2</c:f>
              <c:strCache>
                <c:ptCount val="1"/>
                <c:pt idx="0">
                  <c:v>mc4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post!$A$3:$A$182</c:f>
              <c:numCache>
                <c:formatCode>General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cat>
          <c:val>
            <c:numRef>
              <c:f>post!$E$3:$E$182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0.25380000000000003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0.25380000000000003</c:v>
                </c:pt>
                <c:pt idx="76">
                  <c:v>0.25380000000000003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0.25380000000000003</c:v>
                </c:pt>
                <c:pt idx="82">
                  <c:v>0</c:v>
                </c:pt>
                <c:pt idx="83">
                  <c:v>0.50760000000000005</c:v>
                </c:pt>
                <c:pt idx="84">
                  <c:v>0</c:v>
                </c:pt>
                <c:pt idx="85">
                  <c:v>0.25380000000000003</c:v>
                </c:pt>
                <c:pt idx="86">
                  <c:v>0.76139999999999997</c:v>
                </c:pt>
                <c:pt idx="87">
                  <c:v>0.25380000000000003</c:v>
                </c:pt>
                <c:pt idx="88">
                  <c:v>0</c:v>
                </c:pt>
                <c:pt idx="89">
                  <c:v>0.25380000000000003</c:v>
                </c:pt>
                <c:pt idx="90">
                  <c:v>0.76139999999999997</c:v>
                </c:pt>
                <c:pt idx="91">
                  <c:v>1.5227999999999999</c:v>
                </c:pt>
                <c:pt idx="92">
                  <c:v>1.2689999999999999</c:v>
                </c:pt>
                <c:pt idx="93">
                  <c:v>2.0305</c:v>
                </c:pt>
                <c:pt idx="94">
                  <c:v>1.0152000000000001</c:v>
                </c:pt>
                <c:pt idx="95">
                  <c:v>2.2843</c:v>
                </c:pt>
                <c:pt idx="96">
                  <c:v>1.2689999999999999</c:v>
                </c:pt>
                <c:pt idx="97">
                  <c:v>2.0305</c:v>
                </c:pt>
                <c:pt idx="98">
                  <c:v>3.5533000000000001</c:v>
                </c:pt>
                <c:pt idx="99">
                  <c:v>1.7766</c:v>
                </c:pt>
                <c:pt idx="100">
                  <c:v>3.5533000000000001</c:v>
                </c:pt>
                <c:pt idx="101">
                  <c:v>3.0457000000000001</c:v>
                </c:pt>
                <c:pt idx="102">
                  <c:v>2.7919</c:v>
                </c:pt>
                <c:pt idx="103">
                  <c:v>3.8071000000000002</c:v>
                </c:pt>
                <c:pt idx="104">
                  <c:v>4.0609000000000002</c:v>
                </c:pt>
                <c:pt idx="105">
                  <c:v>3.2995000000000001</c:v>
                </c:pt>
                <c:pt idx="106">
                  <c:v>4.0609000000000002</c:v>
                </c:pt>
                <c:pt idx="107">
                  <c:v>3.5533000000000001</c:v>
                </c:pt>
                <c:pt idx="108">
                  <c:v>1.5227999999999999</c:v>
                </c:pt>
                <c:pt idx="109">
                  <c:v>5.3299000000000003</c:v>
                </c:pt>
                <c:pt idx="110">
                  <c:v>4.5685000000000002</c:v>
                </c:pt>
                <c:pt idx="111">
                  <c:v>3.8071000000000002</c:v>
                </c:pt>
                <c:pt idx="112">
                  <c:v>2.0305</c:v>
                </c:pt>
                <c:pt idx="113">
                  <c:v>3.8071000000000002</c:v>
                </c:pt>
                <c:pt idx="114">
                  <c:v>3.0457000000000001</c:v>
                </c:pt>
                <c:pt idx="115">
                  <c:v>1.5227999999999999</c:v>
                </c:pt>
                <c:pt idx="116">
                  <c:v>4.0609000000000002</c:v>
                </c:pt>
                <c:pt idx="117">
                  <c:v>1.7766</c:v>
                </c:pt>
                <c:pt idx="118">
                  <c:v>2.5381</c:v>
                </c:pt>
                <c:pt idx="119">
                  <c:v>2.7919</c:v>
                </c:pt>
                <c:pt idx="120">
                  <c:v>1.5227999999999999</c:v>
                </c:pt>
                <c:pt idx="121">
                  <c:v>2.0305</c:v>
                </c:pt>
                <c:pt idx="122">
                  <c:v>0.25380000000000003</c:v>
                </c:pt>
                <c:pt idx="123">
                  <c:v>1.2689999999999999</c:v>
                </c:pt>
                <c:pt idx="124">
                  <c:v>1.2689999999999999</c:v>
                </c:pt>
                <c:pt idx="125">
                  <c:v>1.0152000000000001</c:v>
                </c:pt>
                <c:pt idx="126">
                  <c:v>0.76139999999999997</c:v>
                </c:pt>
                <c:pt idx="127">
                  <c:v>1.0152000000000001</c:v>
                </c:pt>
                <c:pt idx="128">
                  <c:v>1.2689999999999999</c:v>
                </c:pt>
                <c:pt idx="129">
                  <c:v>0.50760000000000005</c:v>
                </c:pt>
                <c:pt idx="130">
                  <c:v>0</c:v>
                </c:pt>
                <c:pt idx="131">
                  <c:v>0.50760000000000005</c:v>
                </c:pt>
                <c:pt idx="132">
                  <c:v>0.50760000000000005</c:v>
                </c:pt>
                <c:pt idx="133">
                  <c:v>0.50760000000000005</c:v>
                </c:pt>
                <c:pt idx="134">
                  <c:v>0</c:v>
                </c:pt>
                <c:pt idx="135">
                  <c:v>0.25380000000000003</c:v>
                </c:pt>
                <c:pt idx="136">
                  <c:v>0</c:v>
                </c:pt>
                <c:pt idx="137">
                  <c:v>0.25380000000000003</c:v>
                </c:pt>
                <c:pt idx="138">
                  <c:v>0</c:v>
                </c:pt>
                <c:pt idx="139">
                  <c:v>0.25380000000000003</c:v>
                </c:pt>
                <c:pt idx="140">
                  <c:v>0</c:v>
                </c:pt>
                <c:pt idx="141">
                  <c:v>0.50760000000000005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0.50760000000000005</c:v>
                </c:pt>
                <c:pt idx="155">
                  <c:v>0</c:v>
                </c:pt>
                <c:pt idx="156">
                  <c:v>0</c:v>
                </c:pt>
                <c:pt idx="157">
                  <c:v>0.25380000000000003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B6-4DED-832B-5683462E3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86207"/>
        <c:axId val="225487167"/>
      </c:areaChart>
      <c:catAx>
        <c:axId val="22548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87167"/>
        <c:crosses val="autoZero"/>
        <c:auto val="1"/>
        <c:lblAlgn val="ctr"/>
        <c:lblOffset val="100"/>
        <c:noMultiLvlLbl val="0"/>
      </c:catAx>
      <c:valAx>
        <c:axId val="22548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8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30236</xdr:colOff>
      <xdr:row>0</xdr:row>
      <xdr:rowOff>126999</xdr:rowOff>
    </xdr:from>
    <xdr:to>
      <xdr:col>38</xdr:col>
      <xdr:colOff>582082</xdr:colOff>
      <xdr:row>30</xdr:row>
      <xdr:rowOff>10582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06CD91-4EDC-9B56-ABE3-81C04E41E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291042</xdr:colOff>
      <xdr:row>1</xdr:row>
      <xdr:rowOff>46563</xdr:rowOff>
    </xdr:from>
    <xdr:to>
      <xdr:col>24</xdr:col>
      <xdr:colOff>328084</xdr:colOff>
      <xdr:row>29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3982D2-903E-B3D8-7756-D0C556385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5337-A0F1-4F69-948B-7A3D8FC2D6C7}">
  <dimension ref="A1:X25"/>
  <sheetViews>
    <sheetView tabSelected="1" zoomScaleNormal="100" workbookViewId="0">
      <selection activeCell="F7" sqref="F7"/>
    </sheetView>
  </sheetViews>
  <sheetFormatPr defaultRowHeight="14.35" x14ac:dyDescent="0.5"/>
  <cols>
    <col min="2" max="2" width="9.234375" bestFit="1" customWidth="1"/>
    <col min="8" max="8" width="14.41015625" bestFit="1" customWidth="1"/>
    <col min="9" max="9" width="18.17578125" bestFit="1" customWidth="1"/>
    <col min="10" max="10" width="10.76171875" bestFit="1" customWidth="1"/>
    <col min="11" max="11" width="11.64453125" bestFit="1" customWidth="1"/>
  </cols>
  <sheetData>
    <row r="1" spans="1:24" x14ac:dyDescent="0.5">
      <c r="A1" t="s">
        <v>12</v>
      </c>
      <c r="B1" s="2">
        <v>2.68</v>
      </c>
      <c r="C1" t="s">
        <v>13</v>
      </c>
    </row>
    <row r="2" spans="1:24" x14ac:dyDescent="0.5">
      <c r="A2" t="s">
        <v>11</v>
      </c>
      <c r="B2" s="1">
        <v>40.078000000000003</v>
      </c>
      <c r="C2" s="1">
        <v>28.085000000000001</v>
      </c>
      <c r="D2" s="1">
        <v>24.305</v>
      </c>
      <c r="E2" s="1">
        <v>15.999000000000001</v>
      </c>
      <c r="F2" s="1">
        <v>26.981999999999999</v>
      </c>
      <c r="N2" s="12" t="s">
        <v>21</v>
      </c>
      <c r="O2" s="12"/>
      <c r="P2" s="12"/>
      <c r="Q2" s="12"/>
      <c r="R2" s="12"/>
    </row>
    <row r="3" spans="1:24" x14ac:dyDescent="0.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</v>
      </c>
      <c r="H3" t="s">
        <v>14</v>
      </c>
      <c r="I3" t="s">
        <v>15</v>
      </c>
      <c r="J3" t="s">
        <v>16</v>
      </c>
      <c r="N3" s="5" t="s">
        <v>0</v>
      </c>
      <c r="O3" s="5" t="s">
        <v>17</v>
      </c>
      <c r="P3" s="5" t="s">
        <v>18</v>
      </c>
      <c r="Q3" s="5" t="s">
        <v>19</v>
      </c>
      <c r="R3" s="5" t="s">
        <v>20</v>
      </c>
    </row>
    <row r="4" spans="1:24" x14ac:dyDescent="0.5">
      <c r="A4" t="s">
        <v>6</v>
      </c>
      <c r="B4">
        <v>1084</v>
      </c>
      <c r="C4">
        <v>644</v>
      </c>
      <c r="D4">
        <v>206</v>
      </c>
      <c r="E4">
        <v>3472</v>
      </c>
      <c r="F4">
        <v>596</v>
      </c>
      <c r="G4">
        <v>6002</v>
      </c>
      <c r="H4">
        <f>B4*B$2+C4*C$2+D4*D$2+E4*E$2+F4*F$2</f>
        <v>138167.92199999999</v>
      </c>
      <c r="I4">
        <f>(H4*1.66054E-27)/(B$1*1000)</f>
        <v>8.5609463133537302E-26</v>
      </c>
      <c r="J4" s="3">
        <f>I4^(1/3)*10^(10)</f>
        <v>44.073133048886874</v>
      </c>
      <c r="N4" t="s">
        <v>6</v>
      </c>
      <c r="O4">
        <v>28</v>
      </c>
      <c r="P4">
        <v>44</v>
      </c>
      <c r="Q4">
        <v>6</v>
      </c>
      <c r="R4">
        <v>22</v>
      </c>
      <c r="S4" s="4"/>
    </row>
    <row r="5" spans="1:24" x14ac:dyDescent="0.5">
      <c r="A5" t="s">
        <v>7</v>
      </c>
      <c r="B5">
        <v>1028</v>
      </c>
      <c r="C5">
        <v>640</v>
      </c>
      <c r="D5">
        <v>272</v>
      </c>
      <c r="E5">
        <v>3468</v>
      </c>
      <c r="F5">
        <v>592</v>
      </c>
      <c r="G5">
        <v>6000</v>
      </c>
      <c r="H5">
        <f>B5*B$2+C5*C$2+D5*D$2+E5*E$2+F5*F$2</f>
        <v>137243.42000000001</v>
      </c>
      <c r="I5">
        <f t="shared" ref="I5:I7" si="0">(H5*1.66054E-27)/(B$1*1000)</f>
        <v>8.5036637554776122E-26</v>
      </c>
      <c r="J5" s="3">
        <f t="shared" ref="J5:J7" si="1">I5^(1/3)*10^(10)</f>
        <v>43.974613033297537</v>
      </c>
      <c r="N5" t="s">
        <v>7</v>
      </c>
      <c r="O5">
        <v>28</v>
      </c>
      <c r="P5">
        <v>42</v>
      </c>
      <c r="Q5">
        <v>8</v>
      </c>
      <c r="R5">
        <v>22</v>
      </c>
      <c r="S5" s="4"/>
    </row>
    <row r="6" spans="1:24" x14ac:dyDescent="0.5">
      <c r="A6" t="s">
        <v>8</v>
      </c>
      <c r="B6">
        <v>973</v>
      </c>
      <c r="C6">
        <v>636</v>
      </c>
      <c r="D6">
        <v>338</v>
      </c>
      <c r="E6">
        <v>3465</v>
      </c>
      <c r="F6">
        <v>588</v>
      </c>
      <c r="G6">
        <v>6000</v>
      </c>
      <c r="H6">
        <f t="shared" ref="H6:H7" si="2">B6*B$2+C6*C$2+D6*D$2+E6*E$2+F6*F$2</f>
        <v>136374.995</v>
      </c>
      <c r="I6">
        <f t="shared" si="0"/>
        <v>8.4498557536305966E-26</v>
      </c>
      <c r="J6" s="3">
        <f t="shared" si="1"/>
        <v>43.881665078700649</v>
      </c>
      <c r="N6" t="s">
        <v>8</v>
      </c>
      <c r="O6">
        <v>28</v>
      </c>
      <c r="P6">
        <v>40</v>
      </c>
      <c r="Q6">
        <v>10</v>
      </c>
      <c r="R6">
        <v>22</v>
      </c>
      <c r="S6" s="4"/>
    </row>
    <row r="7" spans="1:24" x14ac:dyDescent="0.5">
      <c r="A7" t="s">
        <v>9</v>
      </c>
      <c r="B7">
        <v>918</v>
      </c>
      <c r="C7">
        <v>632</v>
      </c>
      <c r="D7">
        <v>403</v>
      </c>
      <c r="E7">
        <v>3461</v>
      </c>
      <c r="F7">
        <v>584</v>
      </c>
      <c r="G7">
        <v>5998</v>
      </c>
      <c r="H7">
        <f t="shared" si="2"/>
        <v>135466.266</v>
      </c>
      <c r="I7">
        <f t="shared" si="0"/>
        <v>8.3935504978970155E-26</v>
      </c>
      <c r="J7" s="3">
        <f t="shared" si="1"/>
        <v>43.783979910788254</v>
      </c>
      <c r="N7" t="s">
        <v>9</v>
      </c>
      <c r="O7">
        <v>28</v>
      </c>
      <c r="P7">
        <v>38</v>
      </c>
      <c r="Q7">
        <v>12</v>
      </c>
      <c r="R7">
        <v>22</v>
      </c>
      <c r="S7" s="4"/>
    </row>
    <row r="9" spans="1:24" x14ac:dyDescent="0.5">
      <c r="B9" s="4">
        <f>(B4*B$2)/$H4</f>
        <v>0.31443298394543423</v>
      </c>
      <c r="C9" s="4">
        <f t="shared" ref="C9:E9" si="3">(C4*C$2)/$H4</f>
        <v>0.13090404587542398</v>
      </c>
      <c r="D9" s="4">
        <f t="shared" si="3"/>
        <v>3.623728234112112E-2</v>
      </c>
      <c r="E9" s="4">
        <f t="shared" si="3"/>
        <v>0.40203635689042211</v>
      </c>
      <c r="F9" s="4">
        <f>(F4*F$2)/$H4</f>
        <v>0.11638933094759868</v>
      </c>
    </row>
    <row r="10" spans="1:24" x14ac:dyDescent="0.5">
      <c r="B10" s="6">
        <f t="shared" ref="B10:F12" si="4">(B5*B$2)/$H5</f>
        <v>0.30019788198224728</v>
      </c>
      <c r="C10" s="6">
        <f t="shared" si="4"/>
        <v>0.13096729883297867</v>
      </c>
      <c r="D10" s="6">
        <f t="shared" si="4"/>
        <v>4.8169595307374295E-2</v>
      </c>
      <c r="E10" s="6">
        <f t="shared" si="4"/>
        <v>0.40427826703823028</v>
      </c>
      <c r="F10" s="6">
        <f t="shared" si="4"/>
        <v>0.1163869568391694</v>
      </c>
      <c r="N10" t="s">
        <v>4</v>
      </c>
      <c r="O10" s="5" t="s">
        <v>17</v>
      </c>
      <c r="P10" s="5" t="s">
        <v>18</v>
      </c>
      <c r="Q10" s="5" t="s">
        <v>19</v>
      </c>
      <c r="R10" s="5" t="s">
        <v>20</v>
      </c>
      <c r="U10" s="5" t="s">
        <v>17</v>
      </c>
      <c r="V10" s="5" t="s">
        <v>18</v>
      </c>
      <c r="W10" s="5" t="s">
        <v>19</v>
      </c>
      <c r="X10" s="5" t="s">
        <v>20</v>
      </c>
    </row>
    <row r="11" spans="1:24" x14ac:dyDescent="0.5">
      <c r="B11" s="4">
        <f t="shared" si="4"/>
        <v>0.28594607097877439</v>
      </c>
      <c r="C11" s="4">
        <f t="shared" si="4"/>
        <v>0.13097753000834209</v>
      </c>
      <c r="D11" s="4">
        <f t="shared" si="4"/>
        <v>6.0238975627460153E-2</v>
      </c>
      <c r="E11" s="4">
        <f t="shared" si="4"/>
        <v>0.40650072984420643</v>
      </c>
      <c r="F11" s="4">
        <f t="shared" si="4"/>
        <v>0.11633669354121699</v>
      </c>
      <c r="N11" t="s">
        <v>6</v>
      </c>
      <c r="O11">
        <f>C4*2</f>
        <v>1288</v>
      </c>
      <c r="P11">
        <f>B4</f>
        <v>1084</v>
      </c>
      <c r="Q11">
        <f>D4</f>
        <v>206</v>
      </c>
      <c r="R11">
        <f>F4*(3/2)</f>
        <v>894</v>
      </c>
      <c r="T11" t="s">
        <v>6</v>
      </c>
      <c r="U11" s="4">
        <f>(C4*$C$2+O11*$E$2)/$H4</f>
        <v>0.28004656536703221</v>
      </c>
      <c r="V11" s="4">
        <f>(B4*$B$2+P11*$E$2)/$H4</f>
        <v>0.43995355159209831</v>
      </c>
      <c r="W11" s="4">
        <f>(D4*$D$2+Q11*$E$2)/$H4</f>
        <v>6.0090821949251E-2</v>
      </c>
      <c r="X11" s="4">
        <f>1-U11-V11-W11</f>
        <v>0.21990906109161848</v>
      </c>
    </row>
    <row r="12" spans="1:24" x14ac:dyDescent="0.5">
      <c r="B12" s="4">
        <f t="shared" si="4"/>
        <v>0.27159236824317573</v>
      </c>
      <c r="C12" s="4">
        <f t="shared" si="4"/>
        <v>0.13102686391311621</v>
      </c>
      <c r="D12" s="4">
        <f t="shared" si="4"/>
        <v>7.2305196631019558E-2</v>
      </c>
      <c r="E12" s="4">
        <f t="shared" si="4"/>
        <v>0.4087551878044679</v>
      </c>
      <c r="F12" s="4">
        <f t="shared" si="4"/>
        <v>0.11632038340822061</v>
      </c>
      <c r="N12" t="s">
        <v>7</v>
      </c>
      <c r="O12">
        <f t="shared" ref="O12:O14" si="5">C5*2</f>
        <v>1280</v>
      </c>
      <c r="P12">
        <f t="shared" ref="P12:P14" si="6">B5</f>
        <v>1028</v>
      </c>
      <c r="Q12">
        <f t="shared" ref="Q12:Q14" si="7">D5</f>
        <v>272</v>
      </c>
      <c r="R12">
        <f t="shared" ref="R12:R14" si="8">F5*(3/2)</f>
        <v>888</v>
      </c>
      <c r="T12" t="s">
        <v>7</v>
      </c>
      <c r="U12" s="4">
        <f t="shared" ref="U12:U14" si="9">(C5*$C$2+O12*$E$2)/$H5</f>
        <v>0.28018188412967265</v>
      </c>
      <c r="V12" s="4">
        <f t="shared" ref="V12:V14" si="10">(B5*$B$2+P12*$E$2)/$H5</f>
        <v>0.42003584579865466</v>
      </c>
      <c r="W12" s="4">
        <f t="shared" ref="W12:W14" si="11">(D5*$D$2+Q12*$E$2)/$H5</f>
        <v>7.9877694682921774E-2</v>
      </c>
      <c r="X12" s="4">
        <f t="shared" ref="X12:X14" si="12">1-U12-V12-W12</f>
        <v>0.21990457538875097</v>
      </c>
    </row>
    <row r="13" spans="1:24" x14ac:dyDescent="0.5">
      <c r="N13" t="s">
        <v>8</v>
      </c>
      <c r="O13">
        <f t="shared" si="5"/>
        <v>1272</v>
      </c>
      <c r="P13">
        <f t="shared" si="6"/>
        <v>973</v>
      </c>
      <c r="Q13">
        <f t="shared" si="7"/>
        <v>338</v>
      </c>
      <c r="R13">
        <f t="shared" si="8"/>
        <v>882</v>
      </c>
      <c r="T13" t="s">
        <v>8</v>
      </c>
      <c r="U13" s="4">
        <f t="shared" si="9"/>
        <v>0.28020377195980833</v>
      </c>
      <c r="V13" s="4">
        <f t="shared" si="10"/>
        <v>0.40009476077341016</v>
      </c>
      <c r="W13" s="4">
        <f t="shared" si="11"/>
        <v>9.9891860674312036E-2</v>
      </c>
      <c r="X13" s="4">
        <f t="shared" si="12"/>
        <v>0.21980960659246951</v>
      </c>
    </row>
    <row r="14" spans="1:24" x14ac:dyDescent="0.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10</v>
      </c>
      <c r="N14" t="s">
        <v>9</v>
      </c>
      <c r="O14">
        <f t="shared" si="5"/>
        <v>1264</v>
      </c>
      <c r="P14">
        <f t="shared" si="6"/>
        <v>918</v>
      </c>
      <c r="Q14">
        <f t="shared" si="7"/>
        <v>403</v>
      </c>
      <c r="R14">
        <f t="shared" si="8"/>
        <v>876</v>
      </c>
      <c r="T14" t="s">
        <v>9</v>
      </c>
      <c r="U14" s="4">
        <f t="shared" si="9"/>
        <v>0.28030931331642378</v>
      </c>
      <c r="V14" s="4">
        <f t="shared" si="10"/>
        <v>0.38001110918640069</v>
      </c>
      <c r="W14" s="4">
        <f t="shared" si="11"/>
        <v>0.11990078769868802</v>
      </c>
      <c r="X14" s="4">
        <f t="shared" si="12"/>
        <v>0.21977878979848747</v>
      </c>
    </row>
    <row r="15" spans="1:24" x14ac:dyDescent="0.5">
      <c r="A15" t="s">
        <v>6</v>
      </c>
      <c r="B15" s="3">
        <v>90</v>
      </c>
      <c r="C15" s="3">
        <v>54</v>
      </c>
      <c r="D15" s="3">
        <v>17</v>
      </c>
      <c r="E15" s="3">
        <v>289</v>
      </c>
      <c r="F15" s="3">
        <v>50</v>
      </c>
      <c r="G15" s="3">
        <f>SUM(B15:F15)</f>
        <v>500</v>
      </c>
      <c r="H15">
        <f>B15*B$2+C15*C$2+D15*D$2+E15*E$2+F15*F$2</f>
        <v>11509.606000000002</v>
      </c>
      <c r="I15">
        <f>(H15*1.66054E-27)/(B$1*1000)</f>
        <v>7.1314034131492553E-27</v>
      </c>
      <c r="J15" s="3">
        <f>I15^(1/3)*10^(10)</f>
        <v>19.248268501728226</v>
      </c>
    </row>
    <row r="16" spans="1:24" x14ac:dyDescent="0.5">
      <c r="A16" t="s">
        <v>7</v>
      </c>
      <c r="B16" s="3">
        <v>86</v>
      </c>
      <c r="C16" s="3">
        <v>53</v>
      </c>
      <c r="D16" s="3">
        <v>23</v>
      </c>
      <c r="E16" s="3">
        <v>289</v>
      </c>
      <c r="F16" s="3">
        <v>49</v>
      </c>
      <c r="G16" s="3">
        <f>SUM(B16:F16)</f>
        <v>500</v>
      </c>
      <c r="H16">
        <f t="shared" ref="H16:H18" si="13">B16*B$2+C16*C$2+D16*D$2+E16*E$2+F16*F$2</f>
        <v>11440.057000000001</v>
      </c>
      <c r="I16">
        <f t="shared" ref="I16:I18" si="14">(H16*1.66054E-27)/(B$1*1000)</f>
        <v>7.0883105413358204E-27</v>
      </c>
      <c r="J16" s="3">
        <f t="shared" ref="J16:J18" si="15">I16^(1/3)*10^(10)</f>
        <v>19.209419695469741</v>
      </c>
    </row>
    <row r="17" spans="1:24" x14ac:dyDescent="0.5">
      <c r="A17" t="s">
        <v>8</v>
      </c>
      <c r="B17" s="3">
        <v>81</v>
      </c>
      <c r="C17" s="3">
        <v>53</v>
      </c>
      <c r="D17" s="3">
        <v>28</v>
      </c>
      <c r="E17" s="3">
        <v>289</v>
      </c>
      <c r="F17" s="3">
        <v>49</v>
      </c>
      <c r="G17" s="3">
        <f t="shared" ref="G17:G18" si="16">SUM(B17:F17)</f>
        <v>500</v>
      </c>
      <c r="H17">
        <f t="shared" si="13"/>
        <v>11361.192000000001</v>
      </c>
      <c r="I17">
        <f t="shared" si="14"/>
        <v>7.0394454342089561E-27</v>
      </c>
      <c r="J17" s="3">
        <f t="shared" si="15"/>
        <v>19.165176165501606</v>
      </c>
    </row>
    <row r="18" spans="1:24" x14ac:dyDescent="0.5">
      <c r="A18" t="s">
        <v>9</v>
      </c>
      <c r="B18" s="3">
        <v>77</v>
      </c>
      <c r="C18" s="3">
        <v>53</v>
      </c>
      <c r="D18" s="3">
        <v>34</v>
      </c>
      <c r="E18" s="3">
        <v>288</v>
      </c>
      <c r="F18" s="3">
        <v>49</v>
      </c>
      <c r="G18" s="3">
        <f t="shared" si="16"/>
        <v>501</v>
      </c>
      <c r="H18">
        <f t="shared" si="13"/>
        <v>11330.711000000001</v>
      </c>
      <c r="I18">
        <f t="shared" si="14"/>
        <v>7.0205592701268666E-27</v>
      </c>
      <c r="J18" s="3">
        <f t="shared" si="15"/>
        <v>19.148021365126802</v>
      </c>
    </row>
    <row r="20" spans="1:24" x14ac:dyDescent="0.5">
      <c r="B20" s="4">
        <f>(B15*B$2)/$H15</f>
        <v>0.31339213523034587</v>
      </c>
      <c r="C20" s="4">
        <f t="shared" ref="C20:E20" si="17">(C15*C$2)/$H15</f>
        <v>0.13176732548446923</v>
      </c>
      <c r="D20" s="4">
        <f t="shared" si="17"/>
        <v>3.5899143723946758E-2</v>
      </c>
      <c r="E20" s="4">
        <f t="shared" si="17"/>
        <v>0.40172626239334341</v>
      </c>
      <c r="F20" s="4">
        <f>(F15*F$2)/$H15</f>
        <v>0.11721513316789468</v>
      </c>
    </row>
    <row r="21" spans="1:24" x14ac:dyDescent="0.5">
      <c r="B21" s="4">
        <f t="shared" ref="B21:F21" si="18">(B16*B$2)/$H16</f>
        <v>0.30128416318205409</v>
      </c>
      <c r="C21" s="4">
        <f t="shared" si="18"/>
        <v>0.130113425134158</v>
      </c>
      <c r="D21" s="4">
        <f t="shared" si="18"/>
        <v>4.8864704083205174E-2</v>
      </c>
      <c r="E21" s="4">
        <f t="shared" si="18"/>
        <v>0.4041685281812844</v>
      </c>
      <c r="F21" s="4">
        <f t="shared" si="18"/>
        <v>0.11556917941929834</v>
      </c>
      <c r="N21" t="s">
        <v>4</v>
      </c>
      <c r="O21" s="5" t="s">
        <v>17</v>
      </c>
      <c r="P21" s="5" t="s">
        <v>18</v>
      </c>
      <c r="Q21" s="5" t="s">
        <v>19</v>
      </c>
      <c r="R21" s="5" t="s">
        <v>20</v>
      </c>
      <c r="U21" s="5" t="s">
        <v>17</v>
      </c>
      <c r="V21" s="5" t="s">
        <v>18</v>
      </c>
      <c r="W21" s="5" t="s">
        <v>19</v>
      </c>
      <c r="X21" s="5" t="s">
        <v>20</v>
      </c>
    </row>
    <row r="22" spans="1:24" x14ac:dyDescent="0.5">
      <c r="B22" s="4">
        <f t="shared" ref="B22:F22" si="19">(B17*B$2)/$H17</f>
        <v>0.2857374472678571</v>
      </c>
      <c r="C22" s="4">
        <f t="shared" si="19"/>
        <v>0.13101662219950161</v>
      </c>
      <c r="D22" s="4">
        <f t="shared" si="19"/>
        <v>5.9900404816677681E-2</v>
      </c>
      <c r="E22" s="4">
        <f t="shared" si="19"/>
        <v>0.40697410975890558</v>
      </c>
      <c r="F22" s="4">
        <f t="shared" si="19"/>
        <v>0.11637141595705801</v>
      </c>
      <c r="N22" t="s">
        <v>6</v>
      </c>
      <c r="O22">
        <f>C15*2</f>
        <v>108</v>
      </c>
      <c r="P22">
        <f>B15</f>
        <v>90</v>
      </c>
      <c r="Q22">
        <f>D15</f>
        <v>17</v>
      </c>
      <c r="R22">
        <f>F15*(3/2)</f>
        <v>75</v>
      </c>
      <c r="T22" t="s">
        <v>6</v>
      </c>
      <c r="U22" s="4">
        <f>(C15*$C$2+O22*$E$2)/$H15</f>
        <v>0.28189340278025149</v>
      </c>
      <c r="V22" s="4">
        <f>(B15*$B$2+P22*$E$2)/$H15</f>
        <v>0.43849719964349776</v>
      </c>
      <c r="W22" s="4">
        <f>(D15*$D$2+Q22*$E$2)/$H15</f>
        <v>5.9530100335319899E-2</v>
      </c>
      <c r="X22" s="4">
        <f>1-U22-V22-W22</f>
        <v>0.22007929724093078</v>
      </c>
    </row>
    <row r="23" spans="1:24" x14ac:dyDescent="0.5">
      <c r="B23" s="4">
        <f t="shared" ref="B23:F23" si="20">(B18*B$2)/$H18</f>
        <v>0.27235766581638171</v>
      </c>
      <c r="C23" s="4">
        <f t="shared" si="20"/>
        <v>0.13136907295579245</v>
      </c>
      <c r="D23" s="4">
        <f t="shared" si="20"/>
        <v>7.2931875148876349E-2</v>
      </c>
      <c r="E23" s="4">
        <f t="shared" si="20"/>
        <v>0.40665691676365234</v>
      </c>
      <c r="F23" s="4">
        <f t="shared" si="20"/>
        <v>0.11668446931529715</v>
      </c>
      <c r="N23" t="s">
        <v>7</v>
      </c>
      <c r="O23">
        <f>C16*2</f>
        <v>106</v>
      </c>
      <c r="P23">
        <f>B16</f>
        <v>86</v>
      </c>
      <c r="Q23">
        <f>D16</f>
        <v>23</v>
      </c>
      <c r="R23">
        <f>F16*(3/2)</f>
        <v>73.5</v>
      </c>
      <c r="T23" t="s">
        <v>7</v>
      </c>
      <c r="U23" s="4">
        <f t="shared" ref="U23:U25" si="21">(C16*$C$2+O23*$E$2)/$H16</f>
        <v>0.27835516903455987</v>
      </c>
      <c r="V23" s="4">
        <f t="shared" ref="V23:V25" si="22">(B16*$B$2+P23*$E$2)/$H16</f>
        <v>0.42155576672388956</v>
      </c>
      <c r="W23" s="4">
        <f t="shared" ref="W23:W25" si="23">(D16*$D$2+Q23*$E$2)/$H16</f>
        <v>8.1030365495556519E-2</v>
      </c>
      <c r="X23" s="4">
        <f t="shared" ref="X23:X25" si="24">1-U23-V23-W23</f>
        <v>0.2190586987459941</v>
      </c>
    </row>
    <row r="24" spans="1:24" x14ac:dyDescent="0.5">
      <c r="N24" t="s">
        <v>8</v>
      </c>
      <c r="O24">
        <f t="shared" ref="O24:O25" si="25">C17*2</f>
        <v>106</v>
      </c>
      <c r="P24">
        <f t="shared" ref="P24:P25" si="26">B17</f>
        <v>81</v>
      </c>
      <c r="Q24">
        <f t="shared" ref="Q24:Q25" si="27">D17</f>
        <v>28</v>
      </c>
      <c r="R24">
        <f t="shared" ref="R24:R25" si="28">F17*(3/2)</f>
        <v>73.5</v>
      </c>
      <c r="T24" t="s">
        <v>8</v>
      </c>
      <c r="U24" s="4">
        <f t="shared" si="21"/>
        <v>0.28028740294152232</v>
      </c>
      <c r="V24" s="4">
        <f t="shared" si="22"/>
        <v>0.3998028551933635</v>
      </c>
      <c r="W24" s="4">
        <f t="shared" si="23"/>
        <v>9.9330422371173718E-2</v>
      </c>
      <c r="X24" s="4">
        <f t="shared" si="24"/>
        <v>0.22057931949394044</v>
      </c>
    </row>
    <row r="25" spans="1:24" x14ac:dyDescent="0.5">
      <c r="N25" t="s">
        <v>9</v>
      </c>
      <c r="O25">
        <f t="shared" si="25"/>
        <v>106</v>
      </c>
      <c r="P25">
        <f t="shared" si="26"/>
        <v>77</v>
      </c>
      <c r="Q25">
        <f t="shared" si="27"/>
        <v>34</v>
      </c>
      <c r="R25">
        <f t="shared" si="28"/>
        <v>73.5</v>
      </c>
      <c r="T25" t="s">
        <v>9</v>
      </c>
      <c r="U25" s="4">
        <f t="shared" si="21"/>
        <v>0.28104141037574781</v>
      </c>
      <c r="V25" s="4">
        <f t="shared" si="22"/>
        <v>0.38108191092333038</v>
      </c>
      <c r="W25" s="4">
        <f t="shared" si="23"/>
        <v>0.12093998337791864</v>
      </c>
      <c r="X25" s="4">
        <f t="shared" si="24"/>
        <v>0.21693669532300316</v>
      </c>
    </row>
  </sheetData>
  <mergeCells count="1">
    <mergeCell ref="N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F0B3-98E3-4BA5-BAAB-B4317950A446}">
  <dimension ref="A1:M16"/>
  <sheetViews>
    <sheetView workbookViewId="0">
      <selection activeCell="J2" sqref="J2"/>
    </sheetView>
  </sheetViews>
  <sheetFormatPr defaultRowHeight="14.35" x14ac:dyDescent="0.5"/>
  <cols>
    <col min="10" max="10" width="11.64453125" bestFit="1" customWidth="1"/>
    <col min="13" max="13" width="10.234375" bestFit="1" customWidth="1"/>
  </cols>
  <sheetData>
    <row r="1" spans="1:13" ht="43" x14ac:dyDescent="0.5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J1" t="s">
        <v>45</v>
      </c>
      <c r="K1" t="s">
        <v>46</v>
      </c>
      <c r="L1" t="s">
        <v>48</v>
      </c>
      <c r="M1" t="s">
        <v>47</v>
      </c>
    </row>
    <row r="2" spans="1:13" x14ac:dyDescent="0.5">
      <c r="A2" s="9" t="s">
        <v>1</v>
      </c>
      <c r="B2" s="9">
        <v>0.94499999999999995</v>
      </c>
      <c r="C2" s="9">
        <v>1.1719999999999999</v>
      </c>
      <c r="D2" s="9">
        <v>0.04</v>
      </c>
      <c r="E2" s="9">
        <v>45</v>
      </c>
      <c r="H2" t="s">
        <v>1</v>
      </c>
      <c r="I2" t="s">
        <v>1</v>
      </c>
      <c r="J2" s="10">
        <f t="shared" ref="J2:J16" si="0">4.814*0.2390057*(_xlfn.XLOOKUP(H2, A:A, D:D)+_xlfn.XLOOKUP(I2, A:A, D:D))</f>
        <v>9.2045875184000009E-2</v>
      </c>
      <c r="K2" s="11">
        <f>_xlfn.XLOOKUP(H2, A:A, D:D)+_xlfn.XLOOKUP(I2, A:A, D:D)</f>
        <v>0.08</v>
      </c>
      <c r="L2" s="11">
        <f t="shared" ref="L2:L16" si="1">_xlfn.XLOOKUP(H2, A:A, C:C)+_xlfn.XLOOKUP(I2, A:A, C:C)</f>
        <v>2.3439999999999999</v>
      </c>
      <c r="M2" s="11">
        <f>0.2390057*(_xlfn.XLOOKUP(H2, A:A, E:E)*_xlfn.XLOOKUP(I2, A:A, E:E))</f>
        <v>483.98654249999998</v>
      </c>
    </row>
    <row r="3" spans="1:13" x14ac:dyDescent="0.5">
      <c r="A3" s="9" t="s">
        <v>2</v>
      </c>
      <c r="B3" s="9">
        <v>1.89</v>
      </c>
      <c r="C3" s="9">
        <v>0.72040000000000004</v>
      </c>
      <c r="D3" s="9">
        <v>2.3E-2</v>
      </c>
      <c r="E3" s="9">
        <v>49.3</v>
      </c>
      <c r="H3" t="s">
        <v>1</v>
      </c>
      <c r="I3" t="s">
        <v>2</v>
      </c>
      <c r="J3" s="10">
        <f t="shared" si="0"/>
        <v>7.2486126707399998E-2</v>
      </c>
      <c r="K3" s="11">
        <f t="shared" ref="K3:K16" si="2">_xlfn.XLOOKUP(H3, A:A, D:D)+_xlfn.XLOOKUP(I3, A:A, D:D)</f>
        <v>6.3E-2</v>
      </c>
      <c r="L3" s="11">
        <f t="shared" si="1"/>
        <v>1.8923999999999999</v>
      </c>
      <c r="M3" s="11">
        <f t="shared" ref="M3:M16" si="3">0.2390057*(_xlfn.XLOOKUP(H3, A:A, E:E)*_xlfn.XLOOKUP(I3, A:A, E:E))</f>
        <v>530.23414545000003</v>
      </c>
    </row>
    <row r="4" spans="1:13" x14ac:dyDescent="0.5">
      <c r="A4" s="9" t="s">
        <v>3</v>
      </c>
      <c r="B4" s="9">
        <v>0.94499999999999995</v>
      </c>
      <c r="C4" s="9">
        <v>0.89400000000000002</v>
      </c>
      <c r="D4" s="9">
        <v>0.04</v>
      </c>
      <c r="E4" s="9">
        <v>29.05</v>
      </c>
      <c r="H4" t="s">
        <v>1</v>
      </c>
      <c r="I4" t="s">
        <v>3</v>
      </c>
      <c r="J4" s="10">
        <f t="shared" si="0"/>
        <v>9.2045875184000009E-2</v>
      </c>
      <c r="K4" s="11">
        <f t="shared" si="2"/>
        <v>0.08</v>
      </c>
      <c r="L4" s="11">
        <f t="shared" si="1"/>
        <v>2.0659999999999998</v>
      </c>
      <c r="M4" s="11">
        <f t="shared" si="3"/>
        <v>312.44020132499998</v>
      </c>
    </row>
    <row r="5" spans="1:13" x14ac:dyDescent="0.5">
      <c r="A5" s="9" t="s">
        <v>5</v>
      </c>
      <c r="B5" s="9">
        <v>1.4175</v>
      </c>
      <c r="C5" s="9">
        <v>0.78520000000000001</v>
      </c>
      <c r="D5" s="9">
        <v>3.4000000000000002E-2</v>
      </c>
      <c r="E5" s="9">
        <v>36.82</v>
      </c>
      <c r="H5" t="s">
        <v>1</v>
      </c>
      <c r="I5" t="s">
        <v>5</v>
      </c>
      <c r="J5" s="10">
        <f t="shared" si="0"/>
        <v>8.5142434545200013E-2</v>
      </c>
      <c r="K5" s="11">
        <f t="shared" si="2"/>
        <v>7.400000000000001E-2</v>
      </c>
      <c r="L5" s="11">
        <f t="shared" si="1"/>
        <v>1.9571999999999998</v>
      </c>
      <c r="M5" s="11">
        <f t="shared" si="3"/>
        <v>396.00854433000001</v>
      </c>
    </row>
    <row r="6" spans="1:13" x14ac:dyDescent="0.5">
      <c r="A6" s="9" t="s">
        <v>4</v>
      </c>
      <c r="B6" s="9">
        <v>-0.94499999999999995</v>
      </c>
      <c r="C6" s="9">
        <v>1.8214999999999999</v>
      </c>
      <c r="D6" s="9">
        <v>0.13800000000000001</v>
      </c>
      <c r="E6" s="9">
        <v>90.61</v>
      </c>
      <c r="H6" t="s">
        <v>1</v>
      </c>
      <c r="I6" t="s">
        <v>4</v>
      </c>
      <c r="J6" s="10">
        <f t="shared" si="0"/>
        <v>0.20480207228440003</v>
      </c>
      <c r="K6" s="11">
        <f t="shared" si="2"/>
        <v>0.17800000000000002</v>
      </c>
      <c r="L6" s="11">
        <f t="shared" si="1"/>
        <v>2.9935</v>
      </c>
      <c r="M6" s="11">
        <f t="shared" si="3"/>
        <v>974.53379146499992</v>
      </c>
    </row>
    <row r="7" spans="1:13" x14ac:dyDescent="0.5">
      <c r="H7" t="s">
        <v>2</v>
      </c>
      <c r="I7" t="s">
        <v>2</v>
      </c>
      <c r="J7" s="10">
        <f t="shared" si="0"/>
        <v>5.29263782308E-2</v>
      </c>
      <c r="K7" s="11">
        <f t="shared" si="2"/>
        <v>4.5999999999999999E-2</v>
      </c>
      <c r="L7" s="11">
        <f t="shared" si="1"/>
        <v>1.4408000000000001</v>
      </c>
      <c r="M7" s="11">
        <f t="shared" si="3"/>
        <v>580.90096379299996</v>
      </c>
    </row>
    <row r="8" spans="1:13" x14ac:dyDescent="0.5">
      <c r="H8" t="s">
        <v>2</v>
      </c>
      <c r="I8" t="s">
        <v>3</v>
      </c>
      <c r="J8" s="10">
        <f t="shared" si="0"/>
        <v>7.2486126707399998E-2</v>
      </c>
      <c r="K8" s="11">
        <f t="shared" si="2"/>
        <v>6.3E-2</v>
      </c>
      <c r="L8" s="11">
        <f t="shared" si="1"/>
        <v>1.6144000000000001</v>
      </c>
      <c r="M8" s="11">
        <f t="shared" si="3"/>
        <v>342.29559834049996</v>
      </c>
    </row>
    <row r="9" spans="1:13" x14ac:dyDescent="0.5">
      <c r="H9" t="s">
        <v>2</v>
      </c>
      <c r="I9" t="s">
        <v>5</v>
      </c>
      <c r="J9" s="10">
        <f t="shared" si="0"/>
        <v>6.5582686068600002E-2</v>
      </c>
      <c r="K9" s="11">
        <f t="shared" si="2"/>
        <v>5.7000000000000002E-2</v>
      </c>
      <c r="L9" s="11">
        <f t="shared" si="1"/>
        <v>1.5056</v>
      </c>
      <c r="M9" s="11">
        <f t="shared" si="3"/>
        <v>433.84936078819993</v>
      </c>
    </row>
    <row r="10" spans="1:13" x14ac:dyDescent="0.5">
      <c r="H10" t="s">
        <v>2</v>
      </c>
      <c r="I10" t="s">
        <v>4</v>
      </c>
      <c r="J10" s="10">
        <f t="shared" si="0"/>
        <v>0.18524232380780001</v>
      </c>
      <c r="K10" s="11">
        <f t="shared" si="2"/>
        <v>0.161</v>
      </c>
      <c r="L10" s="11">
        <f t="shared" si="1"/>
        <v>2.5419</v>
      </c>
      <c r="M10" s="11">
        <f t="shared" si="3"/>
        <v>1067.6559093160997</v>
      </c>
    </row>
    <row r="11" spans="1:13" x14ac:dyDescent="0.5">
      <c r="H11" t="s">
        <v>3</v>
      </c>
      <c r="I11" t="s">
        <v>3</v>
      </c>
      <c r="J11" s="10">
        <f t="shared" si="0"/>
        <v>9.2045875184000009E-2</v>
      </c>
      <c r="K11" s="11">
        <f t="shared" si="2"/>
        <v>0.08</v>
      </c>
      <c r="L11" s="11">
        <f t="shared" si="1"/>
        <v>1.788</v>
      </c>
      <c r="M11" s="11">
        <f t="shared" si="3"/>
        <v>201.69750774425</v>
      </c>
    </row>
    <row r="12" spans="1:13" x14ac:dyDescent="0.5">
      <c r="H12" t="s">
        <v>3</v>
      </c>
      <c r="I12" t="s">
        <v>5</v>
      </c>
      <c r="J12" s="10">
        <f t="shared" si="0"/>
        <v>8.5142434545200013E-2</v>
      </c>
      <c r="K12" s="11">
        <f t="shared" si="2"/>
        <v>7.400000000000001E-2</v>
      </c>
      <c r="L12" s="11">
        <f t="shared" si="1"/>
        <v>1.6792</v>
      </c>
      <c r="M12" s="11">
        <f t="shared" si="3"/>
        <v>255.64551583970001</v>
      </c>
    </row>
    <row r="13" spans="1:13" x14ac:dyDescent="0.5">
      <c r="H13" t="s">
        <v>3</v>
      </c>
      <c r="I13" t="s">
        <v>4</v>
      </c>
      <c r="J13" s="10">
        <f t="shared" si="0"/>
        <v>0.20480207228440003</v>
      </c>
      <c r="K13" s="11">
        <f t="shared" si="2"/>
        <v>0.17800000000000002</v>
      </c>
      <c r="L13" s="11">
        <f t="shared" si="1"/>
        <v>2.7155</v>
      </c>
      <c r="M13" s="11">
        <f t="shared" si="3"/>
        <v>629.11570315684992</v>
      </c>
    </row>
    <row r="14" spans="1:13" x14ac:dyDescent="0.5">
      <c r="H14" t="s">
        <v>5</v>
      </c>
      <c r="I14" t="s">
        <v>5</v>
      </c>
      <c r="J14" s="10">
        <f t="shared" si="0"/>
        <v>7.8238993906400003E-2</v>
      </c>
      <c r="K14" s="11">
        <f t="shared" si="2"/>
        <v>6.8000000000000005E-2</v>
      </c>
      <c r="L14" s="11">
        <f t="shared" si="1"/>
        <v>1.5704</v>
      </c>
      <c r="M14" s="11">
        <f t="shared" si="3"/>
        <v>324.02299116068002</v>
      </c>
    </row>
    <row r="15" spans="1:13" x14ac:dyDescent="0.5">
      <c r="H15" t="s">
        <v>5</v>
      </c>
      <c r="I15" t="s">
        <v>4</v>
      </c>
      <c r="J15" s="10">
        <f t="shared" si="0"/>
        <v>0.19789863164560001</v>
      </c>
      <c r="K15" s="11">
        <f t="shared" si="2"/>
        <v>0.17200000000000001</v>
      </c>
      <c r="L15" s="11">
        <f t="shared" si="1"/>
        <v>2.6067</v>
      </c>
      <c r="M15" s="11">
        <f t="shared" si="3"/>
        <v>797.38520448314</v>
      </c>
    </row>
    <row r="16" spans="1:13" x14ac:dyDescent="0.5">
      <c r="H16" t="s">
        <v>4</v>
      </c>
      <c r="I16" t="s">
        <v>4</v>
      </c>
      <c r="J16" s="10">
        <f t="shared" si="0"/>
        <v>0.31755826938480003</v>
      </c>
      <c r="K16" s="11">
        <f t="shared" si="2"/>
        <v>0.27600000000000002</v>
      </c>
      <c r="L16" s="11">
        <f t="shared" si="1"/>
        <v>3.6429999999999998</v>
      </c>
      <c r="M16" s="11">
        <f t="shared" si="3"/>
        <v>1962.2779298809699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164F-6C0E-4992-AFE4-4CEA2AA035C1}">
  <dimension ref="A2:J19"/>
  <sheetViews>
    <sheetView workbookViewId="0">
      <selection activeCell="K9" sqref="K9"/>
    </sheetView>
  </sheetViews>
  <sheetFormatPr defaultRowHeight="14.35" x14ac:dyDescent="0.5"/>
  <sheetData>
    <row r="2" spans="1:10" x14ac:dyDescent="0.5">
      <c r="A2" t="s">
        <v>25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</row>
    <row r="3" spans="1:10" x14ac:dyDescent="0.5">
      <c r="A3" t="s">
        <v>36</v>
      </c>
      <c r="B3">
        <v>1.69</v>
      </c>
      <c r="C3">
        <v>1.72</v>
      </c>
      <c r="D3">
        <v>1.71</v>
      </c>
      <c r="E3">
        <v>1.78</v>
      </c>
      <c r="F3">
        <v>1.81</v>
      </c>
      <c r="G3">
        <v>1.83</v>
      </c>
      <c r="H3">
        <v>1.81</v>
      </c>
      <c r="J3" t="s">
        <v>39</v>
      </c>
    </row>
    <row r="6" spans="1:10" x14ac:dyDescent="0.5">
      <c r="A6" t="s">
        <v>26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 spans="1:10" x14ac:dyDescent="0.5">
      <c r="A7" t="s">
        <v>36</v>
      </c>
      <c r="B7">
        <v>1.71</v>
      </c>
      <c r="C7" t="s">
        <v>37</v>
      </c>
      <c r="D7">
        <v>1.71</v>
      </c>
      <c r="E7">
        <v>1.78</v>
      </c>
      <c r="F7">
        <v>1.84</v>
      </c>
      <c r="G7">
        <v>1.81</v>
      </c>
      <c r="H7">
        <v>1.85</v>
      </c>
    </row>
    <row r="10" spans="1:10" x14ac:dyDescent="0.5">
      <c r="A10" t="s">
        <v>27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</row>
    <row r="11" spans="1:10" x14ac:dyDescent="0.5">
      <c r="A11" t="s">
        <v>36</v>
      </c>
      <c r="B11">
        <v>1.7</v>
      </c>
      <c r="C11">
        <v>1.81</v>
      </c>
      <c r="D11">
        <v>1.71</v>
      </c>
      <c r="E11">
        <v>1.76</v>
      </c>
      <c r="F11">
        <v>1.85</v>
      </c>
      <c r="G11">
        <v>1.81</v>
      </c>
      <c r="H11">
        <v>1.84</v>
      </c>
    </row>
    <row r="14" spans="1:10" x14ac:dyDescent="0.5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</row>
    <row r="15" spans="1:10" x14ac:dyDescent="0.5">
      <c r="A15" t="s">
        <v>36</v>
      </c>
      <c r="B15">
        <v>1.71</v>
      </c>
      <c r="C15">
        <v>1.82</v>
      </c>
      <c r="D15">
        <v>1.71</v>
      </c>
      <c r="E15">
        <v>1.77</v>
      </c>
      <c r="F15">
        <v>1.87</v>
      </c>
      <c r="G15">
        <v>1.82</v>
      </c>
      <c r="H15">
        <v>1.85</v>
      </c>
    </row>
    <row r="18" spans="1:8" x14ac:dyDescent="0.5">
      <c r="A18" s="7" t="s">
        <v>38</v>
      </c>
      <c r="B18" s="7" t="s">
        <v>29</v>
      </c>
      <c r="C18" s="7" t="s">
        <v>30</v>
      </c>
      <c r="D18" s="7" t="s">
        <v>31</v>
      </c>
      <c r="E18" s="7" t="s">
        <v>32</v>
      </c>
      <c r="F18" s="7" t="s">
        <v>33</v>
      </c>
      <c r="G18" s="7" t="s">
        <v>34</v>
      </c>
      <c r="H18" s="7" t="s">
        <v>35</v>
      </c>
    </row>
    <row r="19" spans="1:8" x14ac:dyDescent="0.5">
      <c r="A19" s="7" t="s">
        <v>36</v>
      </c>
      <c r="B19" s="7">
        <f>(B3+B7+B11+B15)/4</f>
        <v>1.7024999999999999</v>
      </c>
      <c r="C19" s="7">
        <f>(C3+0+C11+C15)/3</f>
        <v>1.7833333333333334</v>
      </c>
      <c r="D19" s="7">
        <f>(D3+D7+D11+D15)/4</f>
        <v>1.71</v>
      </c>
      <c r="E19" s="7">
        <f t="shared" ref="E19:H19" si="0">(E3+E7+E11+E15)/4</f>
        <v>1.7725</v>
      </c>
      <c r="F19" s="7">
        <f t="shared" si="0"/>
        <v>1.8425</v>
      </c>
      <c r="G19" s="7">
        <f t="shared" si="0"/>
        <v>1.8175000000000001</v>
      </c>
      <c r="H19" s="7">
        <f t="shared" si="0"/>
        <v>1.8374999999999999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424C-DD24-424B-9AB3-2427625A17AF}">
  <dimension ref="A1:K182"/>
  <sheetViews>
    <sheetView topLeftCell="G4" zoomScale="70" zoomScaleNormal="70" workbookViewId="0">
      <selection activeCell="Z33" sqref="Z33"/>
    </sheetView>
  </sheetViews>
  <sheetFormatPr defaultRowHeight="14.35" x14ac:dyDescent="0.5"/>
  <sheetData>
    <row r="1" spans="1:11" x14ac:dyDescent="0.5">
      <c r="A1" t="s">
        <v>23</v>
      </c>
      <c r="G1" t="s">
        <v>24</v>
      </c>
    </row>
    <row r="2" spans="1:11" x14ac:dyDescent="0.5">
      <c r="A2" t="s">
        <v>22</v>
      </c>
      <c r="B2" t="s">
        <v>25</v>
      </c>
      <c r="C2" t="s">
        <v>26</v>
      </c>
      <c r="D2" t="s">
        <v>27</v>
      </c>
      <c r="E2" t="s">
        <v>28</v>
      </c>
      <c r="G2" t="s">
        <v>22</v>
      </c>
      <c r="H2" t="s">
        <v>25</v>
      </c>
      <c r="I2" t="s">
        <v>26</v>
      </c>
      <c r="J2" t="s">
        <v>27</v>
      </c>
      <c r="K2" t="s">
        <v>28</v>
      </c>
    </row>
    <row r="3" spans="1:11" x14ac:dyDescent="0.5">
      <c r="A3">
        <v>0.5</v>
      </c>
      <c r="B3">
        <v>0</v>
      </c>
      <c r="C3">
        <v>0</v>
      </c>
      <c r="D3">
        <v>0</v>
      </c>
      <c r="E3">
        <v>0</v>
      </c>
      <c r="G3">
        <v>0.5</v>
      </c>
      <c r="H3">
        <v>0</v>
      </c>
      <c r="I3">
        <v>0</v>
      </c>
      <c r="J3">
        <v>0</v>
      </c>
      <c r="K3">
        <v>0</v>
      </c>
    </row>
    <row r="4" spans="1:11" x14ac:dyDescent="0.5">
      <c r="A4">
        <v>1.5</v>
      </c>
      <c r="B4">
        <v>0</v>
      </c>
      <c r="C4">
        <v>0</v>
      </c>
      <c r="D4">
        <v>0</v>
      </c>
      <c r="E4">
        <v>0</v>
      </c>
      <c r="G4">
        <v>1.5</v>
      </c>
      <c r="H4">
        <v>0</v>
      </c>
      <c r="I4">
        <v>0</v>
      </c>
      <c r="J4">
        <v>0</v>
      </c>
      <c r="K4">
        <v>0</v>
      </c>
    </row>
    <row r="5" spans="1:11" x14ac:dyDescent="0.5">
      <c r="A5">
        <v>2.5</v>
      </c>
      <c r="B5">
        <v>0</v>
      </c>
      <c r="C5">
        <v>0</v>
      </c>
      <c r="D5">
        <v>0</v>
      </c>
      <c r="E5">
        <v>0</v>
      </c>
      <c r="G5">
        <v>2.5</v>
      </c>
      <c r="H5">
        <v>0</v>
      </c>
      <c r="I5">
        <v>0</v>
      </c>
      <c r="J5">
        <v>0</v>
      </c>
      <c r="K5">
        <v>0</v>
      </c>
    </row>
    <row r="6" spans="1:11" x14ac:dyDescent="0.5">
      <c r="A6">
        <v>3.5</v>
      </c>
      <c r="B6">
        <v>0</v>
      </c>
      <c r="C6">
        <v>0</v>
      </c>
      <c r="D6">
        <v>0</v>
      </c>
      <c r="E6">
        <v>0</v>
      </c>
      <c r="G6">
        <v>3.5</v>
      </c>
      <c r="H6">
        <v>0</v>
      </c>
      <c r="I6">
        <v>0</v>
      </c>
      <c r="J6">
        <v>0</v>
      </c>
      <c r="K6">
        <v>0</v>
      </c>
    </row>
    <row r="7" spans="1:11" x14ac:dyDescent="0.5">
      <c r="A7">
        <v>4.5</v>
      </c>
      <c r="B7">
        <v>0</v>
      </c>
      <c r="C7">
        <v>0</v>
      </c>
      <c r="D7">
        <v>0</v>
      </c>
      <c r="E7">
        <v>0</v>
      </c>
      <c r="G7">
        <v>4.5</v>
      </c>
      <c r="H7">
        <v>0</v>
      </c>
      <c r="I7">
        <v>0</v>
      </c>
      <c r="J7">
        <v>0</v>
      </c>
      <c r="K7">
        <v>0</v>
      </c>
    </row>
    <row r="8" spans="1:11" x14ac:dyDescent="0.5">
      <c r="A8">
        <v>5.5</v>
      </c>
      <c r="B8">
        <v>0</v>
      </c>
      <c r="C8">
        <v>0</v>
      </c>
      <c r="D8">
        <v>0</v>
      </c>
      <c r="E8">
        <v>0</v>
      </c>
      <c r="G8">
        <v>5.5</v>
      </c>
      <c r="H8">
        <v>0</v>
      </c>
      <c r="I8">
        <v>0</v>
      </c>
      <c r="J8">
        <v>0</v>
      </c>
      <c r="K8">
        <v>0</v>
      </c>
    </row>
    <row r="9" spans="1:11" x14ac:dyDescent="0.5">
      <c r="A9">
        <v>6.5</v>
      </c>
      <c r="B9">
        <v>0</v>
      </c>
      <c r="C9">
        <v>0</v>
      </c>
      <c r="D9">
        <v>0</v>
      </c>
      <c r="E9">
        <v>0</v>
      </c>
      <c r="G9">
        <v>6.5</v>
      </c>
      <c r="H9">
        <v>0</v>
      </c>
      <c r="I9">
        <v>0</v>
      </c>
      <c r="J9">
        <v>0</v>
      </c>
      <c r="K9">
        <v>0</v>
      </c>
    </row>
    <row r="10" spans="1:11" x14ac:dyDescent="0.5">
      <c r="A10">
        <v>7.5</v>
      </c>
      <c r="B10">
        <v>0</v>
      </c>
      <c r="C10">
        <v>0</v>
      </c>
      <c r="D10">
        <v>0</v>
      </c>
      <c r="E10">
        <v>0</v>
      </c>
      <c r="G10">
        <v>7.5</v>
      </c>
      <c r="H10">
        <v>0</v>
      </c>
      <c r="I10">
        <v>0</v>
      </c>
      <c r="J10">
        <v>0</v>
      </c>
      <c r="K10">
        <v>0</v>
      </c>
    </row>
    <row r="11" spans="1:11" x14ac:dyDescent="0.5">
      <c r="A11">
        <v>8.5</v>
      </c>
      <c r="B11">
        <v>0</v>
      </c>
      <c r="C11">
        <v>0</v>
      </c>
      <c r="D11">
        <v>0</v>
      </c>
      <c r="E11">
        <v>0</v>
      </c>
      <c r="G11">
        <v>8.5</v>
      </c>
      <c r="H11">
        <v>0</v>
      </c>
      <c r="I11">
        <v>0</v>
      </c>
      <c r="J11">
        <v>0</v>
      </c>
      <c r="K11">
        <v>0</v>
      </c>
    </row>
    <row r="12" spans="1:11" x14ac:dyDescent="0.5">
      <c r="A12">
        <v>9.5</v>
      </c>
      <c r="B12">
        <v>0</v>
      </c>
      <c r="C12">
        <v>0</v>
      </c>
      <c r="D12">
        <v>0</v>
      </c>
      <c r="E12">
        <v>0</v>
      </c>
      <c r="G12">
        <v>9.5</v>
      </c>
      <c r="H12">
        <v>0</v>
      </c>
      <c r="I12">
        <v>0</v>
      </c>
      <c r="J12">
        <v>0</v>
      </c>
      <c r="K12">
        <v>0</v>
      </c>
    </row>
    <row r="13" spans="1:11" x14ac:dyDescent="0.5">
      <c r="A13">
        <v>10.5</v>
      </c>
      <c r="B13">
        <v>0</v>
      </c>
      <c r="C13">
        <v>0</v>
      </c>
      <c r="D13">
        <v>0</v>
      </c>
      <c r="E13">
        <v>0</v>
      </c>
      <c r="G13">
        <v>10.5</v>
      </c>
      <c r="H13">
        <v>0</v>
      </c>
      <c r="I13">
        <v>0</v>
      </c>
      <c r="J13">
        <v>0</v>
      </c>
      <c r="K13">
        <v>0</v>
      </c>
    </row>
    <row r="14" spans="1:11" x14ac:dyDescent="0.5">
      <c r="A14">
        <v>11.5</v>
      </c>
      <c r="B14">
        <v>0</v>
      </c>
      <c r="C14">
        <v>0</v>
      </c>
      <c r="D14">
        <v>0</v>
      </c>
      <c r="E14">
        <v>0</v>
      </c>
      <c r="G14">
        <v>11.5</v>
      </c>
      <c r="H14">
        <v>0</v>
      </c>
      <c r="I14">
        <v>0</v>
      </c>
      <c r="J14">
        <v>0</v>
      </c>
      <c r="K14">
        <v>0</v>
      </c>
    </row>
    <row r="15" spans="1:11" x14ac:dyDescent="0.5">
      <c r="A15">
        <v>12.5</v>
      </c>
      <c r="B15">
        <v>0</v>
      </c>
      <c r="C15">
        <v>0</v>
      </c>
      <c r="D15">
        <v>0</v>
      </c>
      <c r="E15">
        <v>0</v>
      </c>
      <c r="G15">
        <v>12.5</v>
      </c>
      <c r="H15">
        <v>0</v>
      </c>
      <c r="I15">
        <v>0</v>
      </c>
      <c r="J15">
        <v>0</v>
      </c>
      <c r="K15">
        <v>0</v>
      </c>
    </row>
    <row r="16" spans="1:11" x14ac:dyDescent="0.5">
      <c r="A16">
        <v>13.5</v>
      </c>
      <c r="B16">
        <v>0</v>
      </c>
      <c r="C16">
        <v>0</v>
      </c>
      <c r="D16">
        <v>0</v>
      </c>
      <c r="E16">
        <v>0</v>
      </c>
      <c r="G16">
        <v>13.5</v>
      </c>
      <c r="H16">
        <v>0</v>
      </c>
      <c r="I16">
        <v>0</v>
      </c>
      <c r="J16">
        <v>0</v>
      </c>
      <c r="K16">
        <v>0</v>
      </c>
    </row>
    <row r="17" spans="1:11" x14ac:dyDescent="0.5">
      <c r="A17">
        <v>14.5</v>
      </c>
      <c r="B17">
        <v>0</v>
      </c>
      <c r="C17">
        <v>0</v>
      </c>
      <c r="D17">
        <v>0</v>
      </c>
      <c r="E17">
        <v>0</v>
      </c>
      <c r="G17">
        <v>14.5</v>
      </c>
      <c r="H17">
        <v>0</v>
      </c>
      <c r="I17">
        <v>0</v>
      </c>
      <c r="J17">
        <v>0</v>
      </c>
      <c r="K17">
        <v>0</v>
      </c>
    </row>
    <row r="18" spans="1:11" x14ac:dyDescent="0.5">
      <c r="A18">
        <v>15.5</v>
      </c>
      <c r="B18">
        <v>0</v>
      </c>
      <c r="C18">
        <v>0</v>
      </c>
      <c r="D18">
        <v>0</v>
      </c>
      <c r="E18">
        <v>0</v>
      </c>
      <c r="G18">
        <v>15.5</v>
      </c>
      <c r="H18">
        <v>0</v>
      </c>
      <c r="I18">
        <v>0</v>
      </c>
      <c r="J18">
        <v>0</v>
      </c>
      <c r="K18">
        <v>0</v>
      </c>
    </row>
    <row r="19" spans="1:11" x14ac:dyDescent="0.5">
      <c r="A19">
        <v>16.5</v>
      </c>
      <c r="B19">
        <v>0</v>
      </c>
      <c r="C19">
        <v>0</v>
      </c>
      <c r="D19">
        <v>0</v>
      </c>
      <c r="E19">
        <v>0</v>
      </c>
      <c r="G19">
        <v>16.5</v>
      </c>
      <c r="H19">
        <v>0</v>
      </c>
      <c r="I19">
        <v>0</v>
      </c>
      <c r="J19">
        <v>0</v>
      </c>
      <c r="K19">
        <v>0</v>
      </c>
    </row>
    <row r="20" spans="1:11" x14ac:dyDescent="0.5">
      <c r="A20">
        <v>17.5</v>
      </c>
      <c r="B20">
        <v>0</v>
      </c>
      <c r="C20">
        <v>0</v>
      </c>
      <c r="D20">
        <v>0</v>
      </c>
      <c r="E20">
        <v>0</v>
      </c>
      <c r="G20">
        <v>17.5</v>
      </c>
      <c r="H20">
        <v>0</v>
      </c>
      <c r="I20">
        <v>0</v>
      </c>
      <c r="J20">
        <v>0</v>
      </c>
      <c r="K20">
        <v>0</v>
      </c>
    </row>
    <row r="21" spans="1:11" x14ac:dyDescent="0.5">
      <c r="A21">
        <v>18.5</v>
      </c>
      <c r="B21">
        <v>0</v>
      </c>
      <c r="C21">
        <v>0</v>
      </c>
      <c r="D21">
        <v>0</v>
      </c>
      <c r="E21">
        <v>0</v>
      </c>
      <c r="G21">
        <v>18.5</v>
      </c>
      <c r="H21">
        <v>0</v>
      </c>
      <c r="I21">
        <v>0</v>
      </c>
      <c r="J21">
        <v>0</v>
      </c>
      <c r="K21">
        <v>0</v>
      </c>
    </row>
    <row r="22" spans="1:11" x14ac:dyDescent="0.5">
      <c r="A22">
        <v>19.5</v>
      </c>
      <c r="B22">
        <v>0</v>
      </c>
      <c r="C22">
        <v>0</v>
      </c>
      <c r="D22">
        <v>0</v>
      </c>
      <c r="E22">
        <v>0</v>
      </c>
      <c r="G22">
        <v>19.5</v>
      </c>
      <c r="H22">
        <v>0</v>
      </c>
      <c r="I22">
        <v>0</v>
      </c>
      <c r="J22">
        <v>0</v>
      </c>
      <c r="K22">
        <v>0</v>
      </c>
    </row>
    <row r="23" spans="1:11" x14ac:dyDescent="0.5">
      <c r="A23">
        <v>20.5</v>
      </c>
      <c r="B23">
        <v>0</v>
      </c>
      <c r="C23">
        <v>0</v>
      </c>
      <c r="D23">
        <v>0</v>
      </c>
      <c r="E23">
        <v>0</v>
      </c>
      <c r="G23">
        <v>20.5</v>
      </c>
      <c r="H23">
        <v>0</v>
      </c>
      <c r="I23">
        <v>0</v>
      </c>
      <c r="J23">
        <v>0</v>
      </c>
      <c r="K23">
        <v>0</v>
      </c>
    </row>
    <row r="24" spans="1:11" x14ac:dyDescent="0.5">
      <c r="A24">
        <v>21.5</v>
      </c>
      <c r="B24">
        <v>0</v>
      </c>
      <c r="C24">
        <v>0</v>
      </c>
      <c r="D24">
        <v>0</v>
      </c>
      <c r="E24">
        <v>0</v>
      </c>
      <c r="G24">
        <v>21.5</v>
      </c>
      <c r="H24">
        <v>0</v>
      </c>
      <c r="I24">
        <v>0</v>
      </c>
      <c r="J24">
        <v>0</v>
      </c>
      <c r="K24">
        <v>0</v>
      </c>
    </row>
    <row r="25" spans="1:11" x14ac:dyDescent="0.5">
      <c r="A25">
        <v>22.5</v>
      </c>
      <c r="B25">
        <v>0</v>
      </c>
      <c r="C25">
        <v>0</v>
      </c>
      <c r="D25">
        <v>0</v>
      </c>
      <c r="E25">
        <v>0</v>
      </c>
      <c r="G25">
        <v>22.5</v>
      </c>
      <c r="H25">
        <v>0</v>
      </c>
      <c r="I25">
        <v>0</v>
      </c>
      <c r="J25">
        <v>0</v>
      </c>
      <c r="K25">
        <v>0</v>
      </c>
    </row>
    <row r="26" spans="1:11" x14ac:dyDescent="0.5">
      <c r="A26">
        <v>23.5</v>
      </c>
      <c r="B26">
        <v>0</v>
      </c>
      <c r="C26">
        <v>0</v>
      </c>
      <c r="D26">
        <v>0</v>
      </c>
      <c r="E26">
        <v>0</v>
      </c>
      <c r="G26">
        <v>23.5</v>
      </c>
      <c r="H26">
        <v>0</v>
      </c>
      <c r="I26">
        <v>0</v>
      </c>
      <c r="J26">
        <v>0</v>
      </c>
      <c r="K26">
        <v>0</v>
      </c>
    </row>
    <row r="27" spans="1:11" x14ac:dyDescent="0.5">
      <c r="A27">
        <v>24.5</v>
      </c>
      <c r="B27">
        <v>0</v>
      </c>
      <c r="C27">
        <v>0</v>
      </c>
      <c r="D27">
        <v>0</v>
      </c>
      <c r="E27">
        <v>0</v>
      </c>
      <c r="G27">
        <v>24.5</v>
      </c>
      <c r="H27">
        <v>0</v>
      </c>
      <c r="I27">
        <v>0</v>
      </c>
      <c r="J27">
        <v>0</v>
      </c>
      <c r="K27">
        <v>0</v>
      </c>
    </row>
    <row r="28" spans="1:11" x14ac:dyDescent="0.5">
      <c r="A28">
        <v>25.5</v>
      </c>
      <c r="B28">
        <v>0</v>
      </c>
      <c r="C28">
        <v>0</v>
      </c>
      <c r="D28">
        <v>0</v>
      </c>
      <c r="E28">
        <v>0</v>
      </c>
      <c r="G28">
        <v>25.5</v>
      </c>
      <c r="H28">
        <v>0</v>
      </c>
      <c r="I28">
        <v>0</v>
      </c>
      <c r="J28">
        <v>0</v>
      </c>
      <c r="K28">
        <v>0</v>
      </c>
    </row>
    <row r="29" spans="1:11" x14ac:dyDescent="0.5">
      <c r="A29">
        <v>26.5</v>
      </c>
      <c r="B29">
        <v>0</v>
      </c>
      <c r="C29">
        <v>0</v>
      </c>
      <c r="D29">
        <v>0</v>
      </c>
      <c r="E29">
        <v>0</v>
      </c>
      <c r="G29">
        <v>26.5</v>
      </c>
      <c r="H29">
        <v>0</v>
      </c>
      <c r="I29">
        <v>0</v>
      </c>
      <c r="J29">
        <v>0</v>
      </c>
      <c r="K29">
        <v>0</v>
      </c>
    </row>
    <row r="30" spans="1:11" x14ac:dyDescent="0.5">
      <c r="A30">
        <v>27.5</v>
      </c>
      <c r="B30">
        <v>0</v>
      </c>
      <c r="C30">
        <v>0</v>
      </c>
      <c r="D30">
        <v>0</v>
      </c>
      <c r="E30">
        <v>0</v>
      </c>
      <c r="G30">
        <v>27.5</v>
      </c>
      <c r="H30">
        <v>0</v>
      </c>
      <c r="I30">
        <v>0</v>
      </c>
      <c r="J30">
        <v>0</v>
      </c>
      <c r="K30">
        <v>0</v>
      </c>
    </row>
    <row r="31" spans="1:11" x14ac:dyDescent="0.5">
      <c r="A31">
        <v>28.5</v>
      </c>
      <c r="B31">
        <v>0</v>
      </c>
      <c r="C31">
        <v>0</v>
      </c>
      <c r="D31">
        <v>0</v>
      </c>
      <c r="E31">
        <v>0</v>
      </c>
      <c r="G31">
        <v>28.5</v>
      </c>
      <c r="H31">
        <v>0</v>
      </c>
      <c r="I31">
        <v>0</v>
      </c>
      <c r="J31">
        <v>0</v>
      </c>
      <c r="K31">
        <v>0</v>
      </c>
    </row>
    <row r="32" spans="1:11" x14ac:dyDescent="0.5">
      <c r="A32">
        <v>29.5</v>
      </c>
      <c r="B32">
        <v>0</v>
      </c>
      <c r="C32">
        <v>0</v>
      </c>
      <c r="D32">
        <v>0</v>
      </c>
      <c r="E32">
        <v>0</v>
      </c>
      <c r="G32">
        <v>29.5</v>
      </c>
      <c r="H32">
        <v>0</v>
      </c>
      <c r="I32">
        <v>0</v>
      </c>
      <c r="J32">
        <v>0</v>
      </c>
      <c r="K32">
        <v>0</v>
      </c>
    </row>
    <row r="33" spans="1:11" x14ac:dyDescent="0.5">
      <c r="A33">
        <v>30.5</v>
      </c>
      <c r="B33">
        <v>0</v>
      </c>
      <c r="C33">
        <v>0</v>
      </c>
      <c r="D33">
        <v>0</v>
      </c>
      <c r="E33">
        <v>0</v>
      </c>
      <c r="G33">
        <v>30.5</v>
      </c>
      <c r="H33">
        <v>0</v>
      </c>
      <c r="I33">
        <v>0</v>
      </c>
      <c r="J33">
        <v>0</v>
      </c>
      <c r="K33">
        <v>0</v>
      </c>
    </row>
    <row r="34" spans="1:11" x14ac:dyDescent="0.5">
      <c r="A34">
        <v>31.5</v>
      </c>
      <c r="B34">
        <v>0</v>
      </c>
      <c r="C34">
        <v>0</v>
      </c>
      <c r="D34">
        <v>0</v>
      </c>
      <c r="E34">
        <v>0</v>
      </c>
      <c r="G34">
        <v>31.5</v>
      </c>
      <c r="H34">
        <v>0</v>
      </c>
      <c r="I34">
        <v>0</v>
      </c>
      <c r="J34">
        <v>0</v>
      </c>
      <c r="K34">
        <v>0</v>
      </c>
    </row>
    <row r="35" spans="1:11" x14ac:dyDescent="0.5">
      <c r="A35">
        <v>32.5</v>
      </c>
      <c r="B35">
        <v>0</v>
      </c>
      <c r="C35">
        <v>0</v>
      </c>
      <c r="D35">
        <v>0</v>
      </c>
      <c r="E35">
        <v>0</v>
      </c>
      <c r="G35">
        <v>32.5</v>
      </c>
      <c r="H35">
        <v>0</v>
      </c>
      <c r="I35">
        <v>0</v>
      </c>
      <c r="J35">
        <v>0</v>
      </c>
      <c r="K35">
        <v>0</v>
      </c>
    </row>
    <row r="36" spans="1:11" x14ac:dyDescent="0.5">
      <c r="A36">
        <v>33.5</v>
      </c>
      <c r="B36">
        <v>0</v>
      </c>
      <c r="C36">
        <v>0</v>
      </c>
      <c r="D36">
        <v>0</v>
      </c>
      <c r="E36">
        <v>0</v>
      </c>
      <c r="G36">
        <v>33.5</v>
      </c>
      <c r="H36">
        <v>0</v>
      </c>
      <c r="I36">
        <v>0</v>
      </c>
      <c r="J36">
        <v>0</v>
      </c>
      <c r="K36">
        <v>0</v>
      </c>
    </row>
    <row r="37" spans="1:11" x14ac:dyDescent="0.5">
      <c r="A37">
        <v>34.5</v>
      </c>
      <c r="B37">
        <v>0</v>
      </c>
      <c r="C37">
        <v>0</v>
      </c>
      <c r="D37">
        <v>0</v>
      </c>
      <c r="E37">
        <v>0</v>
      </c>
      <c r="G37">
        <v>34.5</v>
      </c>
      <c r="H37">
        <v>0</v>
      </c>
      <c r="I37">
        <v>0</v>
      </c>
      <c r="J37">
        <v>0</v>
      </c>
      <c r="K37">
        <v>0</v>
      </c>
    </row>
    <row r="38" spans="1:11" x14ac:dyDescent="0.5">
      <c r="A38">
        <v>35.5</v>
      </c>
      <c r="B38">
        <v>0</v>
      </c>
      <c r="C38">
        <v>0</v>
      </c>
      <c r="D38">
        <v>0</v>
      </c>
      <c r="E38">
        <v>0</v>
      </c>
      <c r="G38">
        <v>35.5</v>
      </c>
      <c r="H38">
        <v>0</v>
      </c>
      <c r="I38">
        <v>0</v>
      </c>
      <c r="J38">
        <v>0</v>
      </c>
      <c r="K38">
        <v>0</v>
      </c>
    </row>
    <row r="39" spans="1:11" x14ac:dyDescent="0.5">
      <c r="A39">
        <v>36.5</v>
      </c>
      <c r="B39">
        <v>0</v>
      </c>
      <c r="C39">
        <v>0</v>
      </c>
      <c r="D39">
        <v>0</v>
      </c>
      <c r="E39">
        <v>0</v>
      </c>
      <c r="G39">
        <v>36.5</v>
      </c>
      <c r="H39">
        <v>0</v>
      </c>
      <c r="I39">
        <v>0</v>
      </c>
      <c r="J39">
        <v>0</v>
      </c>
      <c r="K39">
        <v>0</v>
      </c>
    </row>
    <row r="40" spans="1:11" x14ac:dyDescent="0.5">
      <c r="A40">
        <v>37.5</v>
      </c>
      <c r="B40">
        <v>0</v>
      </c>
      <c r="C40">
        <v>0</v>
      </c>
      <c r="D40">
        <v>0</v>
      </c>
      <c r="E40">
        <v>0</v>
      </c>
      <c r="G40">
        <v>37.5</v>
      </c>
      <c r="H40">
        <v>0</v>
      </c>
      <c r="I40">
        <v>0</v>
      </c>
      <c r="J40">
        <v>0</v>
      </c>
      <c r="K40">
        <v>0</v>
      </c>
    </row>
    <row r="41" spans="1:11" x14ac:dyDescent="0.5">
      <c r="A41">
        <v>38.5</v>
      </c>
      <c r="B41">
        <v>0</v>
      </c>
      <c r="C41">
        <v>0</v>
      </c>
      <c r="D41">
        <v>0</v>
      </c>
      <c r="E41">
        <v>0</v>
      </c>
      <c r="G41">
        <v>38.5</v>
      </c>
      <c r="H41">
        <v>0</v>
      </c>
      <c r="I41">
        <v>0</v>
      </c>
      <c r="J41">
        <v>0</v>
      </c>
      <c r="K41">
        <v>0</v>
      </c>
    </row>
    <row r="42" spans="1:11" x14ac:dyDescent="0.5">
      <c r="A42">
        <v>39.5</v>
      </c>
      <c r="B42">
        <v>0</v>
      </c>
      <c r="C42">
        <v>0</v>
      </c>
      <c r="D42">
        <v>0</v>
      </c>
      <c r="E42">
        <v>0</v>
      </c>
      <c r="G42">
        <v>39.5</v>
      </c>
      <c r="H42">
        <v>0</v>
      </c>
      <c r="I42">
        <v>0</v>
      </c>
      <c r="J42">
        <v>0</v>
      </c>
      <c r="K42">
        <v>0</v>
      </c>
    </row>
    <row r="43" spans="1:11" x14ac:dyDescent="0.5">
      <c r="A43">
        <v>40.5</v>
      </c>
      <c r="B43">
        <v>0</v>
      </c>
      <c r="C43">
        <v>0</v>
      </c>
      <c r="D43">
        <v>0</v>
      </c>
      <c r="E43">
        <v>0</v>
      </c>
      <c r="G43">
        <v>40.5</v>
      </c>
      <c r="H43">
        <v>0</v>
      </c>
      <c r="I43">
        <v>0</v>
      </c>
      <c r="J43">
        <v>0</v>
      </c>
      <c r="K43">
        <v>0</v>
      </c>
    </row>
    <row r="44" spans="1:11" x14ac:dyDescent="0.5">
      <c r="A44">
        <v>41.5</v>
      </c>
      <c r="B44">
        <v>0</v>
      </c>
      <c r="C44">
        <v>0</v>
      </c>
      <c r="D44">
        <v>0</v>
      </c>
      <c r="E44">
        <v>0</v>
      </c>
      <c r="G44">
        <v>41.5</v>
      </c>
      <c r="H44">
        <v>0</v>
      </c>
      <c r="I44">
        <v>0</v>
      </c>
      <c r="J44">
        <v>0</v>
      </c>
      <c r="K44">
        <v>0</v>
      </c>
    </row>
    <row r="45" spans="1:11" x14ac:dyDescent="0.5">
      <c r="A45">
        <v>42.5</v>
      </c>
      <c r="B45">
        <v>0</v>
      </c>
      <c r="C45">
        <v>0</v>
      </c>
      <c r="D45">
        <v>0</v>
      </c>
      <c r="E45">
        <v>0</v>
      </c>
      <c r="G45">
        <v>42.5</v>
      </c>
      <c r="H45">
        <v>0</v>
      </c>
      <c r="I45">
        <v>0</v>
      </c>
      <c r="J45">
        <v>0</v>
      </c>
      <c r="K45">
        <v>0</v>
      </c>
    </row>
    <row r="46" spans="1:11" x14ac:dyDescent="0.5">
      <c r="A46">
        <v>43.5</v>
      </c>
      <c r="B46">
        <v>0</v>
      </c>
      <c r="C46">
        <v>0</v>
      </c>
      <c r="D46">
        <v>0</v>
      </c>
      <c r="E46">
        <v>0</v>
      </c>
      <c r="G46">
        <v>43.5</v>
      </c>
      <c r="H46">
        <v>0</v>
      </c>
      <c r="I46">
        <v>0</v>
      </c>
      <c r="J46">
        <v>0</v>
      </c>
      <c r="K46">
        <v>0</v>
      </c>
    </row>
    <row r="47" spans="1:11" x14ac:dyDescent="0.5">
      <c r="A47">
        <v>44.5</v>
      </c>
      <c r="B47">
        <v>0</v>
      </c>
      <c r="C47">
        <v>0</v>
      </c>
      <c r="D47">
        <v>0</v>
      </c>
      <c r="E47">
        <v>0</v>
      </c>
      <c r="G47">
        <v>44.5</v>
      </c>
      <c r="H47">
        <v>0</v>
      </c>
      <c r="I47">
        <v>0</v>
      </c>
      <c r="J47">
        <v>0</v>
      </c>
      <c r="K47">
        <v>0</v>
      </c>
    </row>
    <row r="48" spans="1:11" x14ac:dyDescent="0.5">
      <c r="A48">
        <v>45.5</v>
      </c>
      <c r="B48">
        <v>0</v>
      </c>
      <c r="C48">
        <v>0</v>
      </c>
      <c r="D48">
        <v>0</v>
      </c>
      <c r="E48">
        <v>0</v>
      </c>
      <c r="G48">
        <v>45.5</v>
      </c>
      <c r="H48">
        <v>0</v>
      </c>
      <c r="I48">
        <v>0</v>
      </c>
      <c r="J48">
        <v>0</v>
      </c>
      <c r="K48">
        <v>0</v>
      </c>
    </row>
    <row r="49" spans="1:11" x14ac:dyDescent="0.5">
      <c r="A49">
        <v>46.5</v>
      </c>
      <c r="B49">
        <v>0</v>
      </c>
      <c r="C49">
        <v>0</v>
      </c>
      <c r="D49">
        <v>0</v>
      </c>
      <c r="E49">
        <v>0</v>
      </c>
      <c r="G49">
        <v>46.5</v>
      </c>
      <c r="H49">
        <v>0</v>
      </c>
      <c r="I49">
        <v>0</v>
      </c>
      <c r="J49">
        <v>0</v>
      </c>
      <c r="K49">
        <v>0</v>
      </c>
    </row>
    <row r="50" spans="1:11" x14ac:dyDescent="0.5">
      <c r="A50">
        <v>47.5</v>
      </c>
      <c r="B50">
        <v>0</v>
      </c>
      <c r="C50">
        <v>0</v>
      </c>
      <c r="D50">
        <v>0</v>
      </c>
      <c r="E50">
        <v>0</v>
      </c>
      <c r="G50">
        <v>47.5</v>
      </c>
      <c r="H50">
        <v>0</v>
      </c>
      <c r="I50">
        <v>0</v>
      </c>
      <c r="J50">
        <v>0</v>
      </c>
      <c r="K50">
        <v>0</v>
      </c>
    </row>
    <row r="51" spans="1:11" x14ac:dyDescent="0.5">
      <c r="A51">
        <v>48.5</v>
      </c>
      <c r="B51">
        <v>0</v>
      </c>
      <c r="C51">
        <v>0</v>
      </c>
      <c r="D51">
        <v>0</v>
      </c>
      <c r="E51">
        <v>0</v>
      </c>
      <c r="G51">
        <v>48.5</v>
      </c>
      <c r="H51">
        <v>0</v>
      </c>
      <c r="I51">
        <v>0</v>
      </c>
      <c r="J51">
        <v>0</v>
      </c>
      <c r="K51">
        <v>0</v>
      </c>
    </row>
    <row r="52" spans="1:11" x14ac:dyDescent="0.5">
      <c r="A52">
        <v>49.5</v>
      </c>
      <c r="B52">
        <v>0</v>
      </c>
      <c r="C52">
        <v>0</v>
      </c>
      <c r="D52">
        <v>0</v>
      </c>
      <c r="E52">
        <v>0</v>
      </c>
      <c r="G52">
        <v>49.5</v>
      </c>
      <c r="H52">
        <v>0</v>
      </c>
      <c r="I52">
        <v>0</v>
      </c>
      <c r="J52">
        <v>0</v>
      </c>
      <c r="K52">
        <v>0</v>
      </c>
    </row>
    <row r="53" spans="1:11" x14ac:dyDescent="0.5">
      <c r="A53">
        <v>50.5</v>
      </c>
      <c r="B53">
        <v>0</v>
      </c>
      <c r="C53">
        <v>0</v>
      </c>
      <c r="D53">
        <v>0</v>
      </c>
      <c r="E53">
        <v>0</v>
      </c>
      <c r="G53">
        <v>50.5</v>
      </c>
      <c r="H53">
        <v>0</v>
      </c>
      <c r="I53">
        <v>0</v>
      </c>
      <c r="J53">
        <v>0</v>
      </c>
      <c r="K53">
        <v>0</v>
      </c>
    </row>
    <row r="54" spans="1:11" x14ac:dyDescent="0.5">
      <c r="A54">
        <v>51.5</v>
      </c>
      <c r="B54">
        <v>0</v>
      </c>
      <c r="C54">
        <v>0</v>
      </c>
      <c r="D54">
        <v>0</v>
      </c>
      <c r="E54">
        <v>0</v>
      </c>
      <c r="G54">
        <v>51.5</v>
      </c>
      <c r="H54">
        <v>0</v>
      </c>
      <c r="I54">
        <v>0</v>
      </c>
      <c r="J54">
        <v>0</v>
      </c>
      <c r="K54">
        <v>0</v>
      </c>
    </row>
    <row r="55" spans="1:11" x14ac:dyDescent="0.5">
      <c r="A55">
        <v>52.5</v>
      </c>
      <c r="B55">
        <v>0</v>
      </c>
      <c r="C55">
        <v>0</v>
      </c>
      <c r="D55">
        <v>0</v>
      </c>
      <c r="E55">
        <v>0</v>
      </c>
      <c r="G55">
        <v>52.5</v>
      </c>
      <c r="H55">
        <v>0</v>
      </c>
      <c r="I55">
        <v>0</v>
      </c>
      <c r="J55">
        <v>0</v>
      </c>
      <c r="K55">
        <v>0</v>
      </c>
    </row>
    <row r="56" spans="1:11" x14ac:dyDescent="0.5">
      <c r="A56">
        <v>53.5</v>
      </c>
      <c r="B56">
        <v>0</v>
      </c>
      <c r="C56">
        <v>0</v>
      </c>
      <c r="D56">
        <v>0</v>
      </c>
      <c r="E56">
        <v>0</v>
      </c>
      <c r="G56">
        <v>53.5</v>
      </c>
      <c r="H56">
        <v>0</v>
      </c>
      <c r="I56">
        <v>0</v>
      </c>
      <c r="J56">
        <v>0</v>
      </c>
      <c r="K56">
        <v>0</v>
      </c>
    </row>
    <row r="57" spans="1:11" x14ac:dyDescent="0.5">
      <c r="A57">
        <v>54.5</v>
      </c>
      <c r="B57">
        <v>0</v>
      </c>
      <c r="C57">
        <v>0</v>
      </c>
      <c r="D57">
        <v>0</v>
      </c>
      <c r="E57">
        <v>0</v>
      </c>
      <c r="G57">
        <v>54.5</v>
      </c>
      <c r="H57">
        <v>0</v>
      </c>
      <c r="I57">
        <v>0</v>
      </c>
      <c r="J57">
        <v>0</v>
      </c>
      <c r="K57">
        <v>0</v>
      </c>
    </row>
    <row r="58" spans="1:11" x14ac:dyDescent="0.5">
      <c r="A58">
        <v>55.5</v>
      </c>
      <c r="B58">
        <v>0</v>
      </c>
      <c r="C58">
        <v>0</v>
      </c>
      <c r="D58">
        <v>0</v>
      </c>
      <c r="E58">
        <v>0</v>
      </c>
      <c r="G58">
        <v>55.5</v>
      </c>
      <c r="H58">
        <v>0</v>
      </c>
      <c r="I58">
        <v>0</v>
      </c>
      <c r="J58">
        <v>0</v>
      </c>
      <c r="K58">
        <v>0</v>
      </c>
    </row>
    <row r="59" spans="1:11" x14ac:dyDescent="0.5">
      <c r="A59">
        <v>56.5</v>
      </c>
      <c r="B59">
        <v>0</v>
      </c>
      <c r="C59">
        <v>0</v>
      </c>
      <c r="D59">
        <v>0</v>
      </c>
      <c r="E59">
        <v>0</v>
      </c>
      <c r="G59">
        <v>56.5</v>
      </c>
      <c r="H59">
        <v>0</v>
      </c>
      <c r="I59">
        <v>0</v>
      </c>
      <c r="J59">
        <v>0</v>
      </c>
      <c r="K59">
        <v>0</v>
      </c>
    </row>
    <row r="60" spans="1:11" x14ac:dyDescent="0.5">
      <c r="A60">
        <v>57.5</v>
      </c>
      <c r="B60">
        <v>0</v>
      </c>
      <c r="C60">
        <v>0</v>
      </c>
      <c r="D60">
        <v>0</v>
      </c>
      <c r="E60">
        <v>0</v>
      </c>
      <c r="G60">
        <v>57.5</v>
      </c>
      <c r="H60">
        <v>0</v>
      </c>
      <c r="I60">
        <v>0</v>
      </c>
      <c r="J60">
        <v>0</v>
      </c>
      <c r="K60">
        <v>0</v>
      </c>
    </row>
    <row r="61" spans="1:11" x14ac:dyDescent="0.5">
      <c r="A61">
        <v>58.5</v>
      </c>
      <c r="B61">
        <v>0</v>
      </c>
      <c r="C61">
        <v>0</v>
      </c>
      <c r="D61">
        <v>0</v>
      </c>
      <c r="E61">
        <v>0</v>
      </c>
      <c r="G61">
        <v>58.5</v>
      </c>
      <c r="H61">
        <v>0</v>
      </c>
      <c r="I61">
        <v>0</v>
      </c>
      <c r="J61">
        <v>0</v>
      </c>
      <c r="K61">
        <v>0</v>
      </c>
    </row>
    <row r="62" spans="1:11" x14ac:dyDescent="0.5">
      <c r="A62">
        <v>59.5</v>
      </c>
      <c r="B62">
        <v>0</v>
      </c>
      <c r="C62">
        <v>0</v>
      </c>
      <c r="D62">
        <v>0</v>
      </c>
      <c r="E62">
        <v>0</v>
      </c>
      <c r="G62">
        <v>59.5</v>
      </c>
      <c r="H62">
        <v>0</v>
      </c>
      <c r="I62">
        <v>0</v>
      </c>
      <c r="J62">
        <v>0</v>
      </c>
      <c r="K62">
        <v>0</v>
      </c>
    </row>
    <row r="63" spans="1:11" x14ac:dyDescent="0.5">
      <c r="A63">
        <v>60.5</v>
      </c>
      <c r="B63">
        <v>0</v>
      </c>
      <c r="C63">
        <v>0</v>
      </c>
      <c r="D63">
        <v>0</v>
      </c>
      <c r="E63">
        <v>0</v>
      </c>
      <c r="G63">
        <v>60.5</v>
      </c>
      <c r="H63">
        <v>0</v>
      </c>
      <c r="I63">
        <v>0</v>
      </c>
      <c r="J63">
        <v>0</v>
      </c>
      <c r="K63">
        <v>0</v>
      </c>
    </row>
    <row r="64" spans="1:11" x14ac:dyDescent="0.5">
      <c r="A64">
        <v>61.5</v>
      </c>
      <c r="B64">
        <v>0</v>
      </c>
      <c r="C64">
        <v>0</v>
      </c>
      <c r="D64">
        <v>0</v>
      </c>
      <c r="E64">
        <v>0</v>
      </c>
      <c r="G64">
        <v>61.5</v>
      </c>
      <c r="H64">
        <v>0</v>
      </c>
      <c r="I64">
        <v>0</v>
      </c>
      <c r="J64">
        <v>0</v>
      </c>
      <c r="K64">
        <v>0</v>
      </c>
    </row>
    <row r="65" spans="1:11" x14ac:dyDescent="0.5">
      <c r="A65">
        <v>62.5</v>
      </c>
      <c r="B65">
        <v>0</v>
      </c>
      <c r="C65">
        <v>0</v>
      </c>
      <c r="D65">
        <v>0</v>
      </c>
      <c r="E65">
        <v>0</v>
      </c>
      <c r="G65">
        <v>62.5</v>
      </c>
      <c r="H65">
        <v>0</v>
      </c>
      <c r="I65">
        <v>0</v>
      </c>
      <c r="J65">
        <v>0</v>
      </c>
      <c r="K65">
        <v>0</v>
      </c>
    </row>
    <row r="66" spans="1:11" x14ac:dyDescent="0.5">
      <c r="A66">
        <v>63.5</v>
      </c>
      <c r="B66">
        <v>0</v>
      </c>
      <c r="C66">
        <v>0</v>
      </c>
      <c r="D66">
        <v>0</v>
      </c>
      <c r="E66">
        <v>0</v>
      </c>
      <c r="G66">
        <v>63.5</v>
      </c>
      <c r="H66">
        <v>0</v>
      </c>
      <c r="I66">
        <v>0</v>
      </c>
      <c r="J66">
        <v>0</v>
      </c>
      <c r="K66">
        <v>0</v>
      </c>
    </row>
    <row r="67" spans="1:11" x14ac:dyDescent="0.5">
      <c r="A67">
        <v>64.5</v>
      </c>
      <c r="B67">
        <v>0</v>
      </c>
      <c r="C67">
        <v>0</v>
      </c>
      <c r="D67">
        <v>0</v>
      </c>
      <c r="E67">
        <v>0</v>
      </c>
      <c r="G67">
        <v>64.5</v>
      </c>
      <c r="H67">
        <v>0</v>
      </c>
      <c r="I67">
        <v>0</v>
      </c>
      <c r="J67">
        <v>0</v>
      </c>
      <c r="K67">
        <v>0</v>
      </c>
    </row>
    <row r="68" spans="1:11" x14ac:dyDescent="0.5">
      <c r="A68">
        <v>65.5</v>
      </c>
      <c r="B68">
        <v>0</v>
      </c>
      <c r="C68">
        <v>0</v>
      </c>
      <c r="D68">
        <v>0</v>
      </c>
      <c r="E68">
        <v>0</v>
      </c>
      <c r="G68">
        <v>65.5</v>
      </c>
      <c r="H68">
        <v>0</v>
      </c>
      <c r="I68">
        <v>0</v>
      </c>
      <c r="J68">
        <v>0</v>
      </c>
      <c r="K68">
        <v>0</v>
      </c>
    </row>
    <row r="69" spans="1:11" x14ac:dyDescent="0.5">
      <c r="A69">
        <v>66.5</v>
      </c>
      <c r="B69">
        <v>0</v>
      </c>
      <c r="C69">
        <v>0</v>
      </c>
      <c r="D69">
        <v>0</v>
      </c>
      <c r="E69">
        <v>0</v>
      </c>
      <c r="G69">
        <v>66.5</v>
      </c>
      <c r="H69">
        <v>0</v>
      </c>
      <c r="I69">
        <v>0</v>
      </c>
      <c r="J69">
        <v>0</v>
      </c>
      <c r="K69">
        <v>0</v>
      </c>
    </row>
    <row r="70" spans="1:11" x14ac:dyDescent="0.5">
      <c r="A70">
        <v>67.5</v>
      </c>
      <c r="B70">
        <v>0</v>
      </c>
      <c r="C70">
        <v>0</v>
      </c>
      <c r="D70">
        <v>0</v>
      </c>
      <c r="E70">
        <v>0</v>
      </c>
      <c r="G70">
        <v>67.5</v>
      </c>
      <c r="H70">
        <v>0</v>
      </c>
      <c r="I70">
        <v>0</v>
      </c>
      <c r="J70">
        <v>0</v>
      </c>
      <c r="K70">
        <v>0</v>
      </c>
    </row>
    <row r="71" spans="1:11" x14ac:dyDescent="0.5">
      <c r="A71">
        <v>68.5</v>
      </c>
      <c r="B71">
        <v>0</v>
      </c>
      <c r="C71">
        <v>0</v>
      </c>
      <c r="D71">
        <v>0</v>
      </c>
      <c r="E71">
        <v>0</v>
      </c>
      <c r="G71">
        <v>68.5</v>
      </c>
      <c r="H71">
        <v>0</v>
      </c>
      <c r="I71">
        <v>0</v>
      </c>
      <c r="J71">
        <v>0</v>
      </c>
      <c r="K71">
        <v>0</v>
      </c>
    </row>
    <row r="72" spans="1:11" x14ac:dyDescent="0.5">
      <c r="A72">
        <v>69.5</v>
      </c>
      <c r="B72">
        <v>0</v>
      </c>
      <c r="C72">
        <v>0</v>
      </c>
      <c r="D72">
        <v>0</v>
      </c>
      <c r="E72">
        <v>0</v>
      </c>
      <c r="G72">
        <v>69.5</v>
      </c>
      <c r="H72">
        <v>0</v>
      </c>
      <c r="I72">
        <v>0</v>
      </c>
      <c r="J72">
        <v>0</v>
      </c>
      <c r="K72">
        <v>0</v>
      </c>
    </row>
    <row r="73" spans="1:11" x14ac:dyDescent="0.5">
      <c r="A73">
        <v>70.5</v>
      </c>
      <c r="B73">
        <v>0</v>
      </c>
      <c r="C73">
        <v>0</v>
      </c>
      <c r="D73">
        <v>0</v>
      </c>
      <c r="E73">
        <v>0</v>
      </c>
      <c r="G73">
        <v>70.5</v>
      </c>
      <c r="H73">
        <v>0</v>
      </c>
      <c r="I73">
        <v>0</v>
      </c>
      <c r="J73">
        <v>0.3846</v>
      </c>
      <c r="K73">
        <v>0</v>
      </c>
    </row>
    <row r="74" spans="1:11" x14ac:dyDescent="0.5">
      <c r="A74">
        <v>71.5</v>
      </c>
      <c r="B74">
        <v>0</v>
      </c>
      <c r="C74">
        <v>0</v>
      </c>
      <c r="D74">
        <v>0</v>
      </c>
      <c r="E74">
        <v>0.25380000000000003</v>
      </c>
      <c r="G74">
        <v>71.5</v>
      </c>
      <c r="H74">
        <v>0</v>
      </c>
      <c r="I74">
        <v>0</v>
      </c>
      <c r="J74">
        <v>0</v>
      </c>
      <c r="K74">
        <v>0</v>
      </c>
    </row>
    <row r="75" spans="1:11" x14ac:dyDescent="0.5">
      <c r="A75">
        <v>72.5</v>
      </c>
      <c r="B75">
        <v>0</v>
      </c>
      <c r="C75">
        <v>0</v>
      </c>
      <c r="D75">
        <v>0</v>
      </c>
      <c r="E75">
        <v>0</v>
      </c>
      <c r="G75">
        <v>72.5</v>
      </c>
      <c r="H75">
        <v>0</v>
      </c>
      <c r="I75">
        <v>0</v>
      </c>
      <c r="J75">
        <v>0</v>
      </c>
      <c r="K75">
        <v>0</v>
      </c>
    </row>
    <row r="76" spans="1:11" x14ac:dyDescent="0.5">
      <c r="A76">
        <v>73.5</v>
      </c>
      <c r="B76">
        <v>0</v>
      </c>
      <c r="C76">
        <v>0</v>
      </c>
      <c r="D76">
        <v>0</v>
      </c>
      <c r="E76">
        <v>0</v>
      </c>
      <c r="G76">
        <v>73.5</v>
      </c>
      <c r="H76">
        <v>0.34129999999999999</v>
      </c>
      <c r="I76">
        <v>0</v>
      </c>
      <c r="J76">
        <v>0</v>
      </c>
      <c r="K76">
        <v>0</v>
      </c>
    </row>
    <row r="77" spans="1:11" x14ac:dyDescent="0.5">
      <c r="A77">
        <v>74.5</v>
      </c>
      <c r="B77">
        <v>0</v>
      </c>
      <c r="C77">
        <v>0</v>
      </c>
      <c r="D77">
        <v>0</v>
      </c>
      <c r="E77">
        <v>0</v>
      </c>
      <c r="G77">
        <v>74.5</v>
      </c>
      <c r="H77">
        <v>0.68259999999999998</v>
      </c>
      <c r="I77">
        <v>0</v>
      </c>
      <c r="J77">
        <v>0</v>
      </c>
      <c r="K77">
        <v>0</v>
      </c>
    </row>
    <row r="78" spans="1:11" x14ac:dyDescent="0.5">
      <c r="A78">
        <v>75.5</v>
      </c>
      <c r="B78">
        <v>0</v>
      </c>
      <c r="C78">
        <v>0</v>
      </c>
      <c r="D78">
        <v>0</v>
      </c>
      <c r="E78">
        <v>0.25380000000000003</v>
      </c>
      <c r="G78">
        <v>75.5</v>
      </c>
      <c r="H78">
        <v>0</v>
      </c>
      <c r="I78">
        <v>0.37740000000000001</v>
      </c>
      <c r="J78">
        <v>0</v>
      </c>
      <c r="K78">
        <v>0</v>
      </c>
    </row>
    <row r="79" spans="1:11" x14ac:dyDescent="0.5">
      <c r="A79">
        <v>76.5</v>
      </c>
      <c r="B79">
        <v>0</v>
      </c>
      <c r="C79">
        <v>0</v>
      </c>
      <c r="D79">
        <v>0</v>
      </c>
      <c r="E79">
        <v>0.25380000000000003</v>
      </c>
      <c r="G79">
        <v>76.5</v>
      </c>
      <c r="H79">
        <v>0.34129999999999999</v>
      </c>
      <c r="I79">
        <v>0</v>
      </c>
      <c r="J79">
        <v>0</v>
      </c>
      <c r="K79">
        <v>0</v>
      </c>
    </row>
    <row r="80" spans="1:11" x14ac:dyDescent="0.5">
      <c r="A80">
        <v>77.5</v>
      </c>
      <c r="B80">
        <v>0</v>
      </c>
      <c r="C80">
        <v>0</v>
      </c>
      <c r="D80">
        <v>0.26879999999999998</v>
      </c>
      <c r="E80">
        <v>0</v>
      </c>
      <c r="G80">
        <v>77.5</v>
      </c>
      <c r="H80">
        <v>1.3652</v>
      </c>
      <c r="I80">
        <v>0.37740000000000001</v>
      </c>
      <c r="J80">
        <v>0</v>
      </c>
      <c r="K80">
        <v>0.34720000000000001</v>
      </c>
    </row>
    <row r="81" spans="1:11" x14ac:dyDescent="0.5">
      <c r="A81">
        <v>78.5</v>
      </c>
      <c r="B81">
        <v>0</v>
      </c>
      <c r="C81">
        <v>0</v>
      </c>
      <c r="D81">
        <v>0</v>
      </c>
      <c r="E81">
        <v>0</v>
      </c>
      <c r="G81">
        <v>78.5</v>
      </c>
      <c r="H81">
        <v>0</v>
      </c>
      <c r="I81">
        <v>0.37740000000000001</v>
      </c>
      <c r="J81">
        <v>0.76919999999999999</v>
      </c>
      <c r="K81">
        <v>1.0417000000000001</v>
      </c>
    </row>
    <row r="82" spans="1:11" x14ac:dyDescent="0.5">
      <c r="A82">
        <v>79.5</v>
      </c>
      <c r="B82">
        <v>0</v>
      </c>
      <c r="C82">
        <v>0</v>
      </c>
      <c r="D82">
        <v>0</v>
      </c>
      <c r="E82">
        <v>0</v>
      </c>
      <c r="G82">
        <v>79.5</v>
      </c>
      <c r="H82">
        <v>1.0239</v>
      </c>
      <c r="I82">
        <v>0.37740000000000001</v>
      </c>
      <c r="J82">
        <v>0.3846</v>
      </c>
      <c r="K82">
        <v>0.34720000000000001</v>
      </c>
    </row>
    <row r="83" spans="1:11" x14ac:dyDescent="0.5">
      <c r="A83">
        <v>80.5</v>
      </c>
      <c r="B83">
        <v>0</v>
      </c>
      <c r="C83">
        <v>0</v>
      </c>
      <c r="D83">
        <v>0</v>
      </c>
      <c r="E83">
        <v>0</v>
      </c>
      <c r="G83">
        <v>80.5</v>
      </c>
      <c r="H83">
        <v>0</v>
      </c>
      <c r="I83">
        <v>1.5094000000000001</v>
      </c>
      <c r="J83">
        <v>1.5385</v>
      </c>
      <c r="K83">
        <v>1.7361</v>
      </c>
    </row>
    <row r="84" spans="1:11" x14ac:dyDescent="0.5">
      <c r="A84">
        <v>81.5</v>
      </c>
      <c r="B84">
        <v>0</v>
      </c>
      <c r="C84">
        <v>0</v>
      </c>
      <c r="D84">
        <v>0</v>
      </c>
      <c r="E84">
        <v>0.25380000000000003</v>
      </c>
      <c r="G84">
        <v>81.5</v>
      </c>
      <c r="H84">
        <v>0.68259999999999998</v>
      </c>
      <c r="I84">
        <v>0.37740000000000001</v>
      </c>
      <c r="J84">
        <v>0.3846</v>
      </c>
      <c r="K84">
        <v>0</v>
      </c>
    </row>
    <row r="85" spans="1:11" x14ac:dyDescent="0.5">
      <c r="A85">
        <v>82.5</v>
      </c>
      <c r="B85">
        <v>0</v>
      </c>
      <c r="C85">
        <v>0</v>
      </c>
      <c r="D85">
        <v>0</v>
      </c>
      <c r="E85">
        <v>0</v>
      </c>
      <c r="G85">
        <v>82.5</v>
      </c>
      <c r="H85">
        <v>1.0239</v>
      </c>
      <c r="I85">
        <v>0.37740000000000001</v>
      </c>
      <c r="J85">
        <v>0.76919999999999999</v>
      </c>
      <c r="K85">
        <v>0.69440000000000002</v>
      </c>
    </row>
    <row r="86" spans="1:11" x14ac:dyDescent="0.5">
      <c r="A86">
        <v>83.5</v>
      </c>
      <c r="B86">
        <v>0</v>
      </c>
      <c r="C86">
        <v>0</v>
      </c>
      <c r="D86">
        <v>0.26879999999999998</v>
      </c>
      <c r="E86">
        <v>0.50760000000000005</v>
      </c>
      <c r="G86">
        <v>83.5</v>
      </c>
      <c r="H86">
        <v>1.0239</v>
      </c>
      <c r="I86">
        <v>0.75470000000000004</v>
      </c>
      <c r="J86">
        <v>0.76919999999999999</v>
      </c>
      <c r="K86">
        <v>0.34720000000000001</v>
      </c>
    </row>
    <row r="87" spans="1:11" x14ac:dyDescent="0.5">
      <c r="A87">
        <v>84.5</v>
      </c>
      <c r="B87">
        <v>0</v>
      </c>
      <c r="C87">
        <v>0.2646</v>
      </c>
      <c r="D87">
        <v>0</v>
      </c>
      <c r="E87">
        <v>0</v>
      </c>
      <c r="G87">
        <v>84.5</v>
      </c>
      <c r="H87">
        <v>1.3652</v>
      </c>
      <c r="I87">
        <v>1.5094000000000001</v>
      </c>
      <c r="J87">
        <v>0</v>
      </c>
      <c r="K87">
        <v>0.34720000000000001</v>
      </c>
    </row>
    <row r="88" spans="1:11" x14ac:dyDescent="0.5">
      <c r="A88">
        <v>85.5</v>
      </c>
      <c r="B88">
        <v>0</v>
      </c>
      <c r="C88">
        <v>0</v>
      </c>
      <c r="D88">
        <v>0.26879999999999998</v>
      </c>
      <c r="E88">
        <v>0.25380000000000003</v>
      </c>
      <c r="G88">
        <v>85.5</v>
      </c>
      <c r="H88">
        <v>1.3652</v>
      </c>
      <c r="I88">
        <v>0.75470000000000004</v>
      </c>
      <c r="J88">
        <v>0.76919999999999999</v>
      </c>
      <c r="K88">
        <v>1.0417000000000001</v>
      </c>
    </row>
    <row r="89" spans="1:11" x14ac:dyDescent="0.5">
      <c r="A89">
        <v>86.5</v>
      </c>
      <c r="B89">
        <v>0</v>
      </c>
      <c r="C89">
        <v>0.52910000000000001</v>
      </c>
      <c r="D89">
        <v>1.3441000000000001</v>
      </c>
      <c r="E89">
        <v>0.76139999999999997</v>
      </c>
      <c r="G89">
        <v>86.5</v>
      </c>
      <c r="H89">
        <v>0.68259999999999998</v>
      </c>
      <c r="I89">
        <v>0.75470000000000004</v>
      </c>
      <c r="J89">
        <v>0.3846</v>
      </c>
      <c r="K89">
        <v>1.3889</v>
      </c>
    </row>
    <row r="90" spans="1:11" x14ac:dyDescent="0.5">
      <c r="A90">
        <v>87.5</v>
      </c>
      <c r="B90">
        <v>0</v>
      </c>
      <c r="C90">
        <v>0</v>
      </c>
      <c r="D90">
        <v>0.26879999999999998</v>
      </c>
      <c r="E90">
        <v>0.25380000000000003</v>
      </c>
      <c r="G90">
        <v>87.5</v>
      </c>
      <c r="H90">
        <v>1.0239</v>
      </c>
      <c r="I90">
        <v>0.75470000000000004</v>
      </c>
      <c r="J90">
        <v>1.5385</v>
      </c>
      <c r="K90">
        <v>1.3889</v>
      </c>
    </row>
    <row r="91" spans="1:11" x14ac:dyDescent="0.5">
      <c r="A91">
        <v>88.5</v>
      </c>
      <c r="B91">
        <v>1.3021</v>
      </c>
      <c r="C91">
        <v>0.2646</v>
      </c>
      <c r="D91">
        <v>0.53759999999999997</v>
      </c>
      <c r="E91">
        <v>0</v>
      </c>
      <c r="G91">
        <v>88.5</v>
      </c>
      <c r="H91">
        <v>0.68259999999999998</v>
      </c>
      <c r="I91">
        <v>1.5094000000000001</v>
      </c>
      <c r="J91">
        <v>1.9231</v>
      </c>
      <c r="K91">
        <v>1.3889</v>
      </c>
    </row>
    <row r="92" spans="1:11" x14ac:dyDescent="0.5">
      <c r="A92">
        <v>89.5</v>
      </c>
      <c r="B92">
        <v>1.3021</v>
      </c>
      <c r="C92">
        <v>0.52910000000000001</v>
      </c>
      <c r="D92">
        <v>0.26879999999999998</v>
      </c>
      <c r="E92">
        <v>0.25380000000000003</v>
      </c>
      <c r="G92">
        <v>89.5</v>
      </c>
      <c r="H92">
        <v>0.34129999999999999</v>
      </c>
      <c r="I92">
        <v>1.5094000000000001</v>
      </c>
      <c r="J92">
        <v>2.3077000000000001</v>
      </c>
      <c r="K92">
        <v>0.69440000000000002</v>
      </c>
    </row>
    <row r="93" spans="1:11" x14ac:dyDescent="0.5">
      <c r="A93">
        <v>90.5</v>
      </c>
      <c r="B93">
        <v>0.78120000000000001</v>
      </c>
      <c r="C93">
        <v>0.52910000000000001</v>
      </c>
      <c r="D93">
        <v>0.26879999999999998</v>
      </c>
      <c r="E93">
        <v>0.76139999999999997</v>
      </c>
      <c r="G93">
        <v>90.5</v>
      </c>
      <c r="H93">
        <v>0.68259999999999998</v>
      </c>
      <c r="I93">
        <v>1.1321000000000001</v>
      </c>
      <c r="J93">
        <v>2.6922999999999999</v>
      </c>
      <c r="K93">
        <v>1.0417000000000001</v>
      </c>
    </row>
    <row r="94" spans="1:11" x14ac:dyDescent="0.5">
      <c r="A94">
        <v>91.5</v>
      </c>
      <c r="B94">
        <v>1.3021</v>
      </c>
      <c r="C94">
        <v>1.8519000000000001</v>
      </c>
      <c r="D94">
        <v>1.0752999999999999</v>
      </c>
      <c r="E94">
        <v>1.5227999999999999</v>
      </c>
      <c r="G94">
        <v>91.5</v>
      </c>
      <c r="H94">
        <v>2.0478000000000001</v>
      </c>
      <c r="I94">
        <v>2.2642000000000002</v>
      </c>
      <c r="J94">
        <v>2.3077000000000001</v>
      </c>
      <c r="K94">
        <v>2.0832999999999999</v>
      </c>
    </row>
    <row r="95" spans="1:11" x14ac:dyDescent="0.5">
      <c r="A95">
        <v>92.5</v>
      </c>
      <c r="B95">
        <v>1.3021</v>
      </c>
      <c r="C95">
        <v>1.5872999999999999</v>
      </c>
      <c r="D95">
        <v>0.80649999999999999</v>
      </c>
      <c r="E95">
        <v>1.2689999999999999</v>
      </c>
      <c r="G95">
        <v>92.5</v>
      </c>
      <c r="H95">
        <v>1.3652</v>
      </c>
      <c r="I95">
        <v>0.75470000000000004</v>
      </c>
      <c r="J95">
        <v>0.76919999999999999</v>
      </c>
      <c r="K95">
        <v>1.3889</v>
      </c>
    </row>
    <row r="96" spans="1:11" x14ac:dyDescent="0.5">
      <c r="A96">
        <v>93.5</v>
      </c>
      <c r="B96">
        <v>1.8229</v>
      </c>
      <c r="C96">
        <v>0.79369999999999996</v>
      </c>
      <c r="D96">
        <v>1.6129</v>
      </c>
      <c r="E96">
        <v>2.0305</v>
      </c>
      <c r="G96">
        <v>93.5</v>
      </c>
      <c r="H96">
        <v>0.68259999999999998</v>
      </c>
      <c r="I96">
        <v>1.5094000000000001</v>
      </c>
      <c r="J96">
        <v>1.9231</v>
      </c>
      <c r="K96">
        <v>1.0417000000000001</v>
      </c>
    </row>
    <row r="97" spans="1:11" x14ac:dyDescent="0.5">
      <c r="A97">
        <v>94.5</v>
      </c>
      <c r="B97">
        <v>1.0417000000000001</v>
      </c>
      <c r="C97">
        <v>1.5872999999999999</v>
      </c>
      <c r="D97">
        <v>1.8816999999999999</v>
      </c>
      <c r="E97">
        <v>1.0152000000000001</v>
      </c>
      <c r="G97">
        <v>94.5</v>
      </c>
      <c r="H97">
        <v>1.7064999999999999</v>
      </c>
      <c r="I97">
        <v>1.5094000000000001</v>
      </c>
      <c r="J97">
        <v>1.1537999999999999</v>
      </c>
      <c r="K97">
        <v>2.4306000000000001</v>
      </c>
    </row>
    <row r="98" spans="1:11" x14ac:dyDescent="0.5">
      <c r="A98">
        <v>95.5</v>
      </c>
      <c r="B98">
        <v>1.8229</v>
      </c>
      <c r="C98">
        <v>1.3228</v>
      </c>
      <c r="D98">
        <v>2.6882000000000001</v>
      </c>
      <c r="E98">
        <v>2.2843</v>
      </c>
      <c r="G98">
        <v>95.5</v>
      </c>
      <c r="H98">
        <v>2.3891</v>
      </c>
      <c r="I98">
        <v>1.8868</v>
      </c>
      <c r="J98">
        <v>1.1537999999999999</v>
      </c>
      <c r="K98">
        <v>1.0417000000000001</v>
      </c>
    </row>
    <row r="99" spans="1:11" x14ac:dyDescent="0.5">
      <c r="A99">
        <v>96.5</v>
      </c>
      <c r="B99">
        <v>2.6042000000000001</v>
      </c>
      <c r="C99">
        <v>2.1164000000000001</v>
      </c>
      <c r="D99">
        <v>1.0752999999999999</v>
      </c>
      <c r="E99">
        <v>1.2689999999999999</v>
      </c>
      <c r="G99">
        <v>96.5</v>
      </c>
      <c r="H99">
        <v>1.3652</v>
      </c>
      <c r="I99">
        <v>1.8868</v>
      </c>
      <c r="J99">
        <v>1.9231</v>
      </c>
      <c r="K99">
        <v>2.0832999999999999</v>
      </c>
    </row>
    <row r="100" spans="1:11" x14ac:dyDescent="0.5">
      <c r="A100">
        <v>97.5</v>
      </c>
      <c r="B100">
        <v>2.8645999999999998</v>
      </c>
      <c r="C100">
        <v>3.1745999999999999</v>
      </c>
      <c r="D100">
        <v>2.1505000000000001</v>
      </c>
      <c r="E100">
        <v>2.0305</v>
      </c>
      <c r="G100">
        <v>97.5</v>
      </c>
      <c r="H100">
        <v>3.0716999999999999</v>
      </c>
      <c r="I100">
        <v>3.3961999999999999</v>
      </c>
      <c r="J100">
        <v>1.1537999999999999</v>
      </c>
      <c r="K100">
        <v>1.0417000000000001</v>
      </c>
    </row>
    <row r="101" spans="1:11" x14ac:dyDescent="0.5">
      <c r="A101">
        <v>98.5</v>
      </c>
      <c r="B101">
        <v>1.3021</v>
      </c>
      <c r="C101">
        <v>1.8519000000000001</v>
      </c>
      <c r="D101">
        <v>2.6882000000000001</v>
      </c>
      <c r="E101">
        <v>3.5533000000000001</v>
      </c>
      <c r="G101">
        <v>98.5</v>
      </c>
      <c r="H101">
        <v>2.0478000000000001</v>
      </c>
      <c r="I101">
        <v>1.1321000000000001</v>
      </c>
      <c r="J101">
        <v>2.3077000000000001</v>
      </c>
      <c r="K101">
        <v>2.0832999999999999</v>
      </c>
    </row>
    <row r="102" spans="1:11" x14ac:dyDescent="0.5">
      <c r="A102">
        <v>99.5</v>
      </c>
      <c r="B102">
        <v>2.3437999999999999</v>
      </c>
      <c r="C102">
        <v>2.3809999999999998</v>
      </c>
      <c r="D102">
        <v>4.0323000000000002</v>
      </c>
      <c r="E102">
        <v>1.7766</v>
      </c>
      <c r="G102">
        <v>99.5</v>
      </c>
      <c r="H102">
        <v>1.7064999999999999</v>
      </c>
      <c r="I102">
        <v>2.2642000000000002</v>
      </c>
      <c r="J102">
        <v>0.3846</v>
      </c>
      <c r="K102">
        <v>2.7778</v>
      </c>
    </row>
    <row r="103" spans="1:11" x14ac:dyDescent="0.5">
      <c r="A103">
        <v>100.5</v>
      </c>
      <c r="B103">
        <v>3.9062000000000001</v>
      </c>
      <c r="C103">
        <v>1.5872999999999999</v>
      </c>
      <c r="D103">
        <v>2.6882000000000001</v>
      </c>
      <c r="E103">
        <v>3.5533000000000001</v>
      </c>
      <c r="G103">
        <v>100.5</v>
      </c>
      <c r="H103">
        <v>1.3652</v>
      </c>
      <c r="I103">
        <v>1.8868</v>
      </c>
      <c r="J103">
        <v>2.6922999999999999</v>
      </c>
      <c r="K103">
        <v>1.7361</v>
      </c>
    </row>
    <row r="104" spans="1:11" x14ac:dyDescent="0.5">
      <c r="A104">
        <v>101.5</v>
      </c>
      <c r="B104">
        <v>3.6457999999999999</v>
      </c>
      <c r="C104">
        <v>4.2328000000000001</v>
      </c>
      <c r="D104">
        <v>2.6882000000000001</v>
      </c>
      <c r="E104">
        <v>3.0457000000000001</v>
      </c>
      <c r="G104">
        <v>101.5</v>
      </c>
      <c r="H104">
        <v>2.7303999999999999</v>
      </c>
      <c r="I104">
        <v>2.2642000000000002</v>
      </c>
      <c r="J104">
        <v>1.5385</v>
      </c>
      <c r="K104">
        <v>2.7778</v>
      </c>
    </row>
    <row r="105" spans="1:11" x14ac:dyDescent="0.5">
      <c r="A105">
        <v>102.5</v>
      </c>
      <c r="B105">
        <v>4.4271000000000003</v>
      </c>
      <c r="C105">
        <v>2.6455000000000002</v>
      </c>
      <c r="D105">
        <v>2.6882000000000001</v>
      </c>
      <c r="E105">
        <v>2.7919</v>
      </c>
      <c r="G105">
        <v>102.5</v>
      </c>
      <c r="H105">
        <v>3.7543000000000002</v>
      </c>
      <c r="I105">
        <v>1.1321000000000001</v>
      </c>
      <c r="J105">
        <v>1.9231</v>
      </c>
      <c r="K105">
        <v>4.1666999999999996</v>
      </c>
    </row>
    <row r="106" spans="1:11" x14ac:dyDescent="0.5">
      <c r="A106">
        <v>103.5</v>
      </c>
      <c r="B106">
        <v>2.6042000000000001</v>
      </c>
      <c r="C106">
        <v>5.5556000000000001</v>
      </c>
      <c r="D106">
        <v>4.3010999999999999</v>
      </c>
      <c r="E106">
        <v>3.8071000000000002</v>
      </c>
      <c r="G106">
        <v>103.5</v>
      </c>
      <c r="H106">
        <v>4.0956000000000001</v>
      </c>
      <c r="I106">
        <v>3.3961999999999999</v>
      </c>
      <c r="J106">
        <v>2.6922999999999999</v>
      </c>
      <c r="K106">
        <v>2.7778</v>
      </c>
    </row>
    <row r="107" spans="1:11" x14ac:dyDescent="0.5">
      <c r="A107">
        <v>104.5</v>
      </c>
      <c r="B107">
        <v>4.6875</v>
      </c>
      <c r="C107">
        <v>2.3809999999999998</v>
      </c>
      <c r="D107">
        <v>2.6882000000000001</v>
      </c>
      <c r="E107">
        <v>4.0609000000000002</v>
      </c>
      <c r="G107">
        <v>104.5</v>
      </c>
      <c r="H107">
        <v>2.0478000000000001</v>
      </c>
      <c r="I107">
        <v>3.0188999999999999</v>
      </c>
      <c r="J107">
        <v>3.0769000000000002</v>
      </c>
      <c r="K107">
        <v>1.7361</v>
      </c>
    </row>
    <row r="108" spans="1:11" x14ac:dyDescent="0.5">
      <c r="A108">
        <v>105.5</v>
      </c>
      <c r="B108">
        <v>3.3854000000000002</v>
      </c>
      <c r="C108">
        <v>4.2328000000000001</v>
      </c>
      <c r="D108">
        <v>5.6452</v>
      </c>
      <c r="E108">
        <v>3.2995000000000001</v>
      </c>
      <c r="G108">
        <v>105.5</v>
      </c>
      <c r="H108">
        <v>2.0478000000000001</v>
      </c>
      <c r="I108">
        <v>1.5094000000000001</v>
      </c>
      <c r="J108">
        <v>1.9231</v>
      </c>
      <c r="K108">
        <v>1.7361</v>
      </c>
    </row>
    <row r="109" spans="1:11" x14ac:dyDescent="0.5">
      <c r="A109">
        <v>106.5</v>
      </c>
      <c r="B109">
        <v>4.1666999999999996</v>
      </c>
      <c r="C109">
        <v>2.6455000000000002</v>
      </c>
      <c r="D109">
        <v>4.5698999999999996</v>
      </c>
      <c r="E109">
        <v>4.0609000000000002</v>
      </c>
      <c r="G109">
        <v>106.5</v>
      </c>
      <c r="H109">
        <v>1.3652</v>
      </c>
      <c r="I109">
        <v>2.6415000000000002</v>
      </c>
      <c r="J109">
        <v>2.3077000000000001</v>
      </c>
      <c r="K109">
        <v>2.4306000000000001</v>
      </c>
    </row>
    <row r="110" spans="1:11" x14ac:dyDescent="0.5">
      <c r="A110">
        <v>107.5</v>
      </c>
      <c r="B110">
        <v>3.125</v>
      </c>
      <c r="C110">
        <v>4.7618999999999998</v>
      </c>
      <c r="D110">
        <v>4.0323000000000002</v>
      </c>
      <c r="E110">
        <v>3.5533000000000001</v>
      </c>
      <c r="G110">
        <v>107.5</v>
      </c>
      <c r="H110">
        <v>3.0716999999999999</v>
      </c>
      <c r="I110">
        <v>1.5094000000000001</v>
      </c>
      <c r="J110">
        <v>2.6922999999999999</v>
      </c>
      <c r="K110">
        <v>3.4722</v>
      </c>
    </row>
    <row r="111" spans="1:11" x14ac:dyDescent="0.5">
      <c r="A111">
        <v>108.5</v>
      </c>
      <c r="B111">
        <v>2.6042000000000001</v>
      </c>
      <c r="C111">
        <v>3.7037</v>
      </c>
      <c r="D111">
        <v>3.2258</v>
      </c>
      <c r="E111">
        <v>1.5227999999999999</v>
      </c>
      <c r="G111">
        <v>108.5</v>
      </c>
      <c r="H111">
        <v>2.3891</v>
      </c>
      <c r="I111">
        <v>2.2642000000000002</v>
      </c>
      <c r="J111">
        <v>1.9231</v>
      </c>
      <c r="K111">
        <v>2.0832999999999999</v>
      </c>
    </row>
    <row r="112" spans="1:11" x14ac:dyDescent="0.5">
      <c r="A112">
        <v>109.5</v>
      </c>
      <c r="B112">
        <v>2.0832999999999999</v>
      </c>
      <c r="C112">
        <v>2.6455000000000002</v>
      </c>
      <c r="D112">
        <v>2.9569999999999999</v>
      </c>
      <c r="E112">
        <v>5.3299000000000003</v>
      </c>
      <c r="G112">
        <v>109.5</v>
      </c>
      <c r="H112">
        <v>2.0478000000000001</v>
      </c>
      <c r="I112">
        <v>1.8868</v>
      </c>
      <c r="J112">
        <v>1.9231</v>
      </c>
      <c r="K112">
        <v>2.0832999999999999</v>
      </c>
    </row>
    <row r="113" spans="1:11" x14ac:dyDescent="0.5">
      <c r="A113">
        <v>110.5</v>
      </c>
      <c r="B113">
        <v>3.3854000000000002</v>
      </c>
      <c r="C113">
        <v>3.4392</v>
      </c>
      <c r="D113">
        <v>2.1505000000000001</v>
      </c>
      <c r="E113">
        <v>4.5685000000000002</v>
      </c>
      <c r="G113">
        <v>110.5</v>
      </c>
      <c r="H113">
        <v>1.7064999999999999</v>
      </c>
      <c r="I113">
        <v>3.0188999999999999</v>
      </c>
      <c r="J113">
        <v>2.3077000000000001</v>
      </c>
      <c r="K113">
        <v>3.8193999999999999</v>
      </c>
    </row>
    <row r="114" spans="1:11" x14ac:dyDescent="0.5">
      <c r="A114">
        <v>111.5</v>
      </c>
      <c r="B114">
        <v>4.1666999999999996</v>
      </c>
      <c r="C114">
        <v>3.1745999999999999</v>
      </c>
      <c r="D114">
        <v>3.7633999999999999</v>
      </c>
      <c r="E114">
        <v>3.8071000000000002</v>
      </c>
      <c r="G114">
        <v>111.5</v>
      </c>
      <c r="H114">
        <v>3.4129999999999998</v>
      </c>
      <c r="I114">
        <v>0.75470000000000004</v>
      </c>
      <c r="J114">
        <v>1.9231</v>
      </c>
      <c r="K114">
        <v>2.4306000000000001</v>
      </c>
    </row>
    <row r="115" spans="1:11" x14ac:dyDescent="0.5">
      <c r="A115">
        <v>112.5</v>
      </c>
      <c r="B115">
        <v>3.9062000000000001</v>
      </c>
      <c r="C115">
        <v>5.8201000000000001</v>
      </c>
      <c r="D115">
        <v>2.9569999999999999</v>
      </c>
      <c r="E115">
        <v>2.0305</v>
      </c>
      <c r="G115">
        <v>112.5</v>
      </c>
      <c r="H115">
        <v>1.7064999999999999</v>
      </c>
      <c r="I115">
        <v>2.2642000000000002</v>
      </c>
      <c r="J115">
        <v>2.3077000000000001</v>
      </c>
      <c r="K115">
        <v>4.1666999999999996</v>
      </c>
    </row>
    <row r="116" spans="1:11" x14ac:dyDescent="0.5">
      <c r="A116">
        <v>113.5</v>
      </c>
      <c r="B116">
        <v>3.6457999999999999</v>
      </c>
      <c r="C116">
        <v>2.9100999999999999</v>
      </c>
      <c r="D116">
        <v>2.4194</v>
      </c>
      <c r="E116">
        <v>3.8071000000000002</v>
      </c>
      <c r="G116">
        <v>113.5</v>
      </c>
      <c r="H116">
        <v>3.4129999999999998</v>
      </c>
      <c r="I116">
        <v>2.2642000000000002</v>
      </c>
      <c r="J116">
        <v>1.9231</v>
      </c>
      <c r="K116">
        <v>2.4306000000000001</v>
      </c>
    </row>
    <row r="117" spans="1:11" x14ac:dyDescent="0.5">
      <c r="A117">
        <v>114.5</v>
      </c>
      <c r="B117">
        <v>3.6457999999999999</v>
      </c>
      <c r="C117">
        <v>3.9683000000000002</v>
      </c>
      <c r="D117">
        <v>2.9569999999999999</v>
      </c>
      <c r="E117">
        <v>3.0457000000000001</v>
      </c>
      <c r="G117">
        <v>114.5</v>
      </c>
      <c r="H117">
        <v>2.0478000000000001</v>
      </c>
      <c r="I117">
        <v>1.1321000000000001</v>
      </c>
      <c r="J117">
        <v>2.6922999999999999</v>
      </c>
      <c r="K117">
        <v>2.0832999999999999</v>
      </c>
    </row>
    <row r="118" spans="1:11" x14ac:dyDescent="0.5">
      <c r="A118">
        <v>115.5</v>
      </c>
      <c r="B118">
        <v>2.0832999999999999</v>
      </c>
      <c r="C118">
        <v>3.7037</v>
      </c>
      <c r="D118">
        <v>2.6882000000000001</v>
      </c>
      <c r="E118">
        <v>1.5227999999999999</v>
      </c>
      <c r="G118">
        <v>115.5</v>
      </c>
      <c r="H118">
        <v>2.0478000000000001</v>
      </c>
      <c r="I118">
        <v>2.6415000000000002</v>
      </c>
      <c r="J118">
        <v>1.1537999999999999</v>
      </c>
      <c r="K118">
        <v>3.8193999999999999</v>
      </c>
    </row>
    <row r="119" spans="1:11" x14ac:dyDescent="0.5">
      <c r="A119">
        <v>116.5</v>
      </c>
      <c r="B119">
        <v>1.8229</v>
      </c>
      <c r="C119">
        <v>3.7037</v>
      </c>
      <c r="D119">
        <v>2.4194</v>
      </c>
      <c r="E119">
        <v>4.0609000000000002</v>
      </c>
      <c r="G119">
        <v>116.5</v>
      </c>
      <c r="H119">
        <v>1.0239</v>
      </c>
      <c r="I119">
        <v>1.8868</v>
      </c>
      <c r="J119">
        <v>3.0769000000000002</v>
      </c>
      <c r="K119">
        <v>0.69440000000000002</v>
      </c>
    </row>
    <row r="120" spans="1:11" x14ac:dyDescent="0.5">
      <c r="A120">
        <v>117.5</v>
      </c>
      <c r="B120">
        <v>3.125</v>
      </c>
      <c r="C120">
        <v>2.1164000000000001</v>
      </c>
      <c r="D120">
        <v>1.8816999999999999</v>
      </c>
      <c r="E120">
        <v>1.7766</v>
      </c>
      <c r="G120">
        <v>117.5</v>
      </c>
      <c r="H120">
        <v>1.0239</v>
      </c>
      <c r="I120">
        <v>2.6415000000000002</v>
      </c>
      <c r="J120">
        <v>1.9231</v>
      </c>
      <c r="K120">
        <v>2.7778</v>
      </c>
    </row>
    <row r="121" spans="1:11" x14ac:dyDescent="0.5">
      <c r="A121">
        <v>118.5</v>
      </c>
      <c r="B121">
        <v>1.8229</v>
      </c>
      <c r="C121">
        <v>2.1164000000000001</v>
      </c>
      <c r="D121">
        <v>2.6882000000000001</v>
      </c>
      <c r="E121">
        <v>2.5381</v>
      </c>
      <c r="G121">
        <v>118.5</v>
      </c>
      <c r="H121">
        <v>1.7064999999999999</v>
      </c>
      <c r="I121">
        <v>2.6415000000000002</v>
      </c>
      <c r="J121">
        <v>2.6922999999999999</v>
      </c>
      <c r="K121">
        <v>2.4306000000000001</v>
      </c>
    </row>
    <row r="122" spans="1:11" x14ac:dyDescent="0.5">
      <c r="A122">
        <v>119.5</v>
      </c>
      <c r="B122">
        <v>1.5625</v>
      </c>
      <c r="C122">
        <v>1.5872999999999999</v>
      </c>
      <c r="D122">
        <v>1.3441000000000001</v>
      </c>
      <c r="E122">
        <v>2.7919</v>
      </c>
      <c r="G122">
        <v>119.5</v>
      </c>
      <c r="H122">
        <v>2.7303999999999999</v>
      </c>
      <c r="I122">
        <v>0.37740000000000001</v>
      </c>
      <c r="J122">
        <v>1.5385</v>
      </c>
      <c r="K122">
        <v>1.0417000000000001</v>
      </c>
    </row>
    <row r="123" spans="1:11" x14ac:dyDescent="0.5">
      <c r="A123">
        <v>120.5</v>
      </c>
      <c r="B123">
        <v>1.8229</v>
      </c>
      <c r="C123">
        <v>2.1164000000000001</v>
      </c>
      <c r="D123">
        <v>2.9569999999999999</v>
      </c>
      <c r="E123">
        <v>1.5227999999999999</v>
      </c>
      <c r="G123">
        <v>120.5</v>
      </c>
      <c r="H123">
        <v>0.68259999999999998</v>
      </c>
      <c r="I123">
        <v>1.5094000000000001</v>
      </c>
      <c r="J123">
        <v>1.1537999999999999</v>
      </c>
      <c r="K123">
        <v>1.7361</v>
      </c>
    </row>
    <row r="124" spans="1:11" x14ac:dyDescent="0.5">
      <c r="A124">
        <v>121.5</v>
      </c>
      <c r="B124">
        <v>2.6042000000000001</v>
      </c>
      <c r="C124">
        <v>1.8519000000000001</v>
      </c>
      <c r="D124">
        <v>1.0752999999999999</v>
      </c>
      <c r="E124">
        <v>2.0305</v>
      </c>
      <c r="G124">
        <v>121.5</v>
      </c>
      <c r="H124">
        <v>1.7064999999999999</v>
      </c>
      <c r="I124">
        <v>1.5094000000000001</v>
      </c>
      <c r="J124">
        <v>2.6922999999999999</v>
      </c>
      <c r="K124">
        <v>1.7361</v>
      </c>
    </row>
    <row r="125" spans="1:11" x14ac:dyDescent="0.5">
      <c r="A125">
        <v>122.5</v>
      </c>
      <c r="B125">
        <v>1.5625</v>
      </c>
      <c r="C125">
        <v>1.3228</v>
      </c>
      <c r="D125">
        <v>2.1505000000000001</v>
      </c>
      <c r="E125">
        <v>0.25380000000000003</v>
      </c>
      <c r="G125">
        <v>122.5</v>
      </c>
      <c r="H125">
        <v>1.7064999999999999</v>
      </c>
      <c r="I125">
        <v>1.8868</v>
      </c>
      <c r="J125">
        <v>1.9231</v>
      </c>
      <c r="K125">
        <v>0.69440000000000002</v>
      </c>
    </row>
    <row r="126" spans="1:11" x14ac:dyDescent="0.5">
      <c r="A126">
        <v>123.5</v>
      </c>
      <c r="B126">
        <v>1.0417000000000001</v>
      </c>
      <c r="C126">
        <v>1.3228</v>
      </c>
      <c r="D126">
        <v>0.80649999999999999</v>
      </c>
      <c r="E126">
        <v>1.2689999999999999</v>
      </c>
      <c r="G126">
        <v>123.5</v>
      </c>
      <c r="H126">
        <v>1.0239</v>
      </c>
      <c r="I126">
        <v>3.0188999999999999</v>
      </c>
      <c r="J126">
        <v>2.6922999999999999</v>
      </c>
      <c r="K126">
        <v>0.69440000000000002</v>
      </c>
    </row>
    <row r="127" spans="1:11" x14ac:dyDescent="0.5">
      <c r="A127">
        <v>124.5</v>
      </c>
      <c r="B127">
        <v>2.0832999999999999</v>
      </c>
      <c r="C127">
        <v>1.0582</v>
      </c>
      <c r="D127">
        <v>1.0752999999999999</v>
      </c>
      <c r="E127">
        <v>1.2689999999999999</v>
      </c>
      <c r="G127">
        <v>124.5</v>
      </c>
      <c r="H127">
        <v>1.3652</v>
      </c>
      <c r="I127">
        <v>1.1321000000000001</v>
      </c>
      <c r="J127">
        <v>0.76919999999999999</v>
      </c>
      <c r="K127">
        <v>2.4306000000000001</v>
      </c>
    </row>
    <row r="128" spans="1:11" x14ac:dyDescent="0.5">
      <c r="A128">
        <v>125.5</v>
      </c>
      <c r="B128">
        <v>0.52080000000000004</v>
      </c>
      <c r="C128">
        <v>0.52910000000000001</v>
      </c>
      <c r="D128">
        <v>1.0752999999999999</v>
      </c>
      <c r="E128">
        <v>1.0152000000000001</v>
      </c>
      <c r="G128">
        <v>125.5</v>
      </c>
      <c r="H128">
        <v>0.34129999999999999</v>
      </c>
      <c r="I128">
        <v>1.8868</v>
      </c>
      <c r="J128">
        <v>1.5385</v>
      </c>
      <c r="K128">
        <v>1.3889</v>
      </c>
    </row>
    <row r="129" spans="1:11" x14ac:dyDescent="0.5">
      <c r="A129">
        <v>126.5</v>
      </c>
      <c r="B129">
        <v>1.3021</v>
      </c>
      <c r="C129">
        <v>1.3228</v>
      </c>
      <c r="D129">
        <v>1.3441000000000001</v>
      </c>
      <c r="E129">
        <v>0.76139999999999997</v>
      </c>
      <c r="G129">
        <v>126.5</v>
      </c>
      <c r="H129">
        <v>1.0239</v>
      </c>
      <c r="I129">
        <v>0.75470000000000004</v>
      </c>
      <c r="J129">
        <v>1.9231</v>
      </c>
      <c r="K129">
        <v>0.69440000000000002</v>
      </c>
    </row>
    <row r="130" spans="1:11" x14ac:dyDescent="0.5">
      <c r="A130">
        <v>127.5</v>
      </c>
      <c r="B130">
        <v>1.3021</v>
      </c>
      <c r="C130">
        <v>0.52910000000000001</v>
      </c>
      <c r="D130">
        <v>0.53759999999999997</v>
      </c>
      <c r="E130">
        <v>1.0152000000000001</v>
      </c>
      <c r="G130">
        <v>127.5</v>
      </c>
      <c r="H130">
        <v>1.7064999999999999</v>
      </c>
      <c r="I130">
        <v>0.37740000000000001</v>
      </c>
      <c r="J130">
        <v>1.1537999999999999</v>
      </c>
      <c r="K130">
        <v>0</v>
      </c>
    </row>
    <row r="131" spans="1:11" x14ac:dyDescent="0.5">
      <c r="A131">
        <v>128.5</v>
      </c>
      <c r="B131">
        <v>0.52080000000000004</v>
      </c>
      <c r="C131">
        <v>0.2646</v>
      </c>
      <c r="D131">
        <v>0.80649999999999999</v>
      </c>
      <c r="E131">
        <v>1.2689999999999999</v>
      </c>
      <c r="G131">
        <v>128.5</v>
      </c>
      <c r="H131">
        <v>1.3652</v>
      </c>
      <c r="I131">
        <v>1.8868</v>
      </c>
      <c r="J131">
        <v>0</v>
      </c>
      <c r="K131">
        <v>0.69440000000000002</v>
      </c>
    </row>
    <row r="132" spans="1:11" x14ac:dyDescent="0.5">
      <c r="A132">
        <v>129.5</v>
      </c>
      <c r="B132">
        <v>0</v>
      </c>
      <c r="C132">
        <v>0.79369999999999996</v>
      </c>
      <c r="D132">
        <v>0.53759999999999997</v>
      </c>
      <c r="E132">
        <v>0.50760000000000005</v>
      </c>
      <c r="G132">
        <v>129.5</v>
      </c>
      <c r="H132">
        <v>0.34129999999999999</v>
      </c>
      <c r="I132">
        <v>2.2642000000000002</v>
      </c>
      <c r="J132">
        <v>0.3846</v>
      </c>
      <c r="K132">
        <v>0.34720000000000001</v>
      </c>
    </row>
    <row r="133" spans="1:11" x14ac:dyDescent="0.5">
      <c r="A133">
        <v>130.5</v>
      </c>
      <c r="B133">
        <v>1.0417000000000001</v>
      </c>
      <c r="C133">
        <v>0.79369999999999996</v>
      </c>
      <c r="D133">
        <v>0.80649999999999999</v>
      </c>
      <c r="E133">
        <v>0</v>
      </c>
      <c r="G133">
        <v>130.5</v>
      </c>
      <c r="H133">
        <v>2.0478000000000001</v>
      </c>
      <c r="I133">
        <v>0.75470000000000004</v>
      </c>
      <c r="J133">
        <v>1.1537999999999999</v>
      </c>
      <c r="K133">
        <v>0</v>
      </c>
    </row>
    <row r="134" spans="1:11" x14ac:dyDescent="0.5">
      <c r="A134">
        <v>131.5</v>
      </c>
      <c r="B134">
        <v>0</v>
      </c>
      <c r="C134">
        <v>0.79369999999999996</v>
      </c>
      <c r="D134">
        <v>0.53759999999999997</v>
      </c>
      <c r="E134">
        <v>0.50760000000000005</v>
      </c>
      <c r="G134">
        <v>131.5</v>
      </c>
      <c r="H134">
        <v>1.3652</v>
      </c>
      <c r="I134">
        <v>2.2642000000000002</v>
      </c>
      <c r="J134">
        <v>0.3846</v>
      </c>
      <c r="K134">
        <v>0</v>
      </c>
    </row>
    <row r="135" spans="1:11" x14ac:dyDescent="0.5">
      <c r="A135">
        <v>132.5</v>
      </c>
      <c r="B135">
        <v>0</v>
      </c>
      <c r="C135">
        <v>0.2646</v>
      </c>
      <c r="D135">
        <v>0.80649999999999999</v>
      </c>
      <c r="E135">
        <v>0.50760000000000005</v>
      </c>
      <c r="G135">
        <v>132.5</v>
      </c>
      <c r="H135">
        <v>0.68259999999999998</v>
      </c>
      <c r="I135">
        <v>1.5094000000000001</v>
      </c>
      <c r="J135">
        <v>1.5385</v>
      </c>
      <c r="K135">
        <v>1.0417000000000001</v>
      </c>
    </row>
    <row r="136" spans="1:11" x14ac:dyDescent="0.5">
      <c r="A136">
        <v>133.5</v>
      </c>
      <c r="B136">
        <v>0.52080000000000004</v>
      </c>
      <c r="C136">
        <v>0</v>
      </c>
      <c r="D136">
        <v>0.53759999999999997</v>
      </c>
      <c r="E136">
        <v>0.50760000000000005</v>
      </c>
      <c r="G136">
        <v>133.5</v>
      </c>
      <c r="H136">
        <v>0.68259999999999998</v>
      </c>
      <c r="I136">
        <v>1.1321000000000001</v>
      </c>
      <c r="J136">
        <v>1.9231</v>
      </c>
      <c r="K136">
        <v>2.0832999999999999</v>
      </c>
    </row>
    <row r="137" spans="1:11" x14ac:dyDescent="0.5">
      <c r="A137">
        <v>134.5</v>
      </c>
      <c r="B137">
        <v>0.52080000000000004</v>
      </c>
      <c r="C137">
        <v>0</v>
      </c>
      <c r="D137">
        <v>0.80649999999999999</v>
      </c>
      <c r="E137">
        <v>0</v>
      </c>
      <c r="G137">
        <v>134.5</v>
      </c>
      <c r="H137">
        <v>0.34129999999999999</v>
      </c>
      <c r="I137">
        <v>0.75470000000000004</v>
      </c>
      <c r="J137">
        <v>1.5385</v>
      </c>
      <c r="K137">
        <v>0.69440000000000002</v>
      </c>
    </row>
    <row r="138" spans="1:11" x14ac:dyDescent="0.5">
      <c r="A138">
        <v>135.5</v>
      </c>
      <c r="B138">
        <v>0</v>
      </c>
      <c r="C138">
        <v>0</v>
      </c>
      <c r="D138">
        <v>0.26879999999999998</v>
      </c>
      <c r="E138">
        <v>0.25380000000000003</v>
      </c>
      <c r="G138">
        <v>135.5</v>
      </c>
      <c r="H138">
        <v>0</v>
      </c>
      <c r="I138">
        <v>0.37740000000000001</v>
      </c>
      <c r="J138">
        <v>0.3846</v>
      </c>
      <c r="K138">
        <v>0.69440000000000002</v>
      </c>
    </row>
    <row r="139" spans="1:11" x14ac:dyDescent="0.5">
      <c r="A139">
        <v>136.5</v>
      </c>
      <c r="B139">
        <v>0</v>
      </c>
      <c r="C139">
        <v>0</v>
      </c>
      <c r="D139">
        <v>0</v>
      </c>
      <c r="E139">
        <v>0</v>
      </c>
      <c r="G139">
        <v>136.5</v>
      </c>
      <c r="H139">
        <v>1.0239</v>
      </c>
      <c r="I139">
        <v>0.37740000000000001</v>
      </c>
      <c r="J139">
        <v>1.1537999999999999</v>
      </c>
      <c r="K139">
        <v>0</v>
      </c>
    </row>
    <row r="140" spans="1:11" x14ac:dyDescent="0.5">
      <c r="A140">
        <v>137.5</v>
      </c>
      <c r="B140">
        <v>0.26040000000000002</v>
      </c>
      <c r="C140">
        <v>0</v>
      </c>
      <c r="D140">
        <v>0.26879999999999998</v>
      </c>
      <c r="E140">
        <v>0.25380000000000003</v>
      </c>
      <c r="G140">
        <v>137.5</v>
      </c>
      <c r="H140">
        <v>1.3652</v>
      </c>
      <c r="I140">
        <v>0.75470000000000004</v>
      </c>
      <c r="J140">
        <v>1.5385</v>
      </c>
      <c r="K140">
        <v>0.34720000000000001</v>
      </c>
    </row>
    <row r="141" spans="1:11" x14ac:dyDescent="0.5">
      <c r="A141">
        <v>138.5</v>
      </c>
      <c r="B141">
        <v>0</v>
      </c>
      <c r="C141">
        <v>0</v>
      </c>
      <c r="D141">
        <v>0.26879999999999998</v>
      </c>
      <c r="E141">
        <v>0</v>
      </c>
      <c r="G141">
        <v>138.5</v>
      </c>
      <c r="H141">
        <v>1.3652</v>
      </c>
      <c r="I141">
        <v>0</v>
      </c>
      <c r="J141">
        <v>1.1537999999999999</v>
      </c>
      <c r="K141">
        <v>0.69440000000000002</v>
      </c>
    </row>
    <row r="142" spans="1:11" x14ac:dyDescent="0.5">
      <c r="A142">
        <v>139.5</v>
      </c>
      <c r="B142">
        <v>0</v>
      </c>
      <c r="C142">
        <v>0.2646</v>
      </c>
      <c r="D142">
        <v>0.53759999999999997</v>
      </c>
      <c r="E142">
        <v>0.25380000000000003</v>
      </c>
      <c r="G142">
        <v>139.5</v>
      </c>
      <c r="H142">
        <v>0</v>
      </c>
      <c r="I142">
        <v>1.1321000000000001</v>
      </c>
      <c r="J142">
        <v>0</v>
      </c>
      <c r="K142">
        <v>0</v>
      </c>
    </row>
    <row r="143" spans="1:11" x14ac:dyDescent="0.5">
      <c r="A143">
        <v>140.5</v>
      </c>
      <c r="B143">
        <v>0.26040000000000002</v>
      </c>
      <c r="C143">
        <v>0</v>
      </c>
      <c r="D143">
        <v>0.26879999999999998</v>
      </c>
      <c r="E143">
        <v>0</v>
      </c>
      <c r="G143">
        <v>140.5</v>
      </c>
      <c r="H143">
        <v>0.34129999999999999</v>
      </c>
      <c r="I143">
        <v>0</v>
      </c>
      <c r="J143">
        <v>0.76919999999999999</v>
      </c>
      <c r="K143">
        <v>0.69440000000000002</v>
      </c>
    </row>
    <row r="144" spans="1:11" x14ac:dyDescent="0.5">
      <c r="A144">
        <v>141.5</v>
      </c>
      <c r="B144">
        <v>0.26040000000000002</v>
      </c>
      <c r="C144">
        <v>0</v>
      </c>
      <c r="D144">
        <v>0.26879999999999998</v>
      </c>
      <c r="E144">
        <v>0.50760000000000005</v>
      </c>
      <c r="G144">
        <v>141.5</v>
      </c>
      <c r="H144">
        <v>0</v>
      </c>
      <c r="I144">
        <v>0</v>
      </c>
      <c r="J144">
        <v>0</v>
      </c>
      <c r="K144">
        <v>0.34720000000000001</v>
      </c>
    </row>
    <row r="145" spans="1:11" x14ac:dyDescent="0.5">
      <c r="A145">
        <v>142.5</v>
      </c>
      <c r="B145">
        <v>0</v>
      </c>
      <c r="C145">
        <v>0.2646</v>
      </c>
      <c r="D145">
        <v>0</v>
      </c>
      <c r="E145">
        <v>0</v>
      </c>
      <c r="G145">
        <v>142.5</v>
      </c>
      <c r="H145">
        <v>0.34129999999999999</v>
      </c>
      <c r="I145">
        <v>0.37740000000000001</v>
      </c>
      <c r="J145">
        <v>0</v>
      </c>
      <c r="K145">
        <v>0.69440000000000002</v>
      </c>
    </row>
    <row r="146" spans="1:11" x14ac:dyDescent="0.5">
      <c r="A146">
        <v>143.5</v>
      </c>
      <c r="B146">
        <v>0</v>
      </c>
      <c r="C146">
        <v>0</v>
      </c>
      <c r="D146">
        <v>0</v>
      </c>
      <c r="E146">
        <v>0</v>
      </c>
      <c r="G146">
        <v>143.5</v>
      </c>
      <c r="H146">
        <v>1.7064999999999999</v>
      </c>
      <c r="I146">
        <v>0</v>
      </c>
      <c r="J146">
        <v>0.3846</v>
      </c>
      <c r="K146">
        <v>0.34720000000000001</v>
      </c>
    </row>
    <row r="147" spans="1:11" x14ac:dyDescent="0.5">
      <c r="A147">
        <v>144.5</v>
      </c>
      <c r="B147">
        <v>0</v>
      </c>
      <c r="C147">
        <v>0.2646</v>
      </c>
      <c r="D147">
        <v>0</v>
      </c>
      <c r="E147">
        <v>0</v>
      </c>
      <c r="G147">
        <v>144.5</v>
      </c>
      <c r="H147">
        <v>0.34129999999999999</v>
      </c>
      <c r="I147">
        <v>0</v>
      </c>
      <c r="J147">
        <v>0</v>
      </c>
      <c r="K147">
        <v>0</v>
      </c>
    </row>
    <row r="148" spans="1:11" x14ac:dyDescent="0.5">
      <c r="A148">
        <v>145.5</v>
      </c>
      <c r="B148">
        <v>0</v>
      </c>
      <c r="C148">
        <v>0.2646</v>
      </c>
      <c r="D148">
        <v>0</v>
      </c>
      <c r="E148">
        <v>0</v>
      </c>
      <c r="G148">
        <v>145.5</v>
      </c>
      <c r="H148">
        <v>0</v>
      </c>
      <c r="I148">
        <v>0</v>
      </c>
      <c r="J148">
        <v>0</v>
      </c>
      <c r="K148">
        <v>0.34720000000000001</v>
      </c>
    </row>
    <row r="149" spans="1:11" x14ac:dyDescent="0.5">
      <c r="A149">
        <v>146.5</v>
      </c>
      <c r="B149">
        <v>0</v>
      </c>
      <c r="C149">
        <v>0</v>
      </c>
      <c r="D149">
        <v>0</v>
      </c>
      <c r="E149">
        <v>0</v>
      </c>
      <c r="G149">
        <v>146.5</v>
      </c>
      <c r="H149">
        <v>0.34129999999999999</v>
      </c>
      <c r="I149">
        <v>0</v>
      </c>
      <c r="J149">
        <v>0</v>
      </c>
      <c r="K149">
        <v>0.69440000000000002</v>
      </c>
    </row>
    <row r="150" spans="1:11" x14ac:dyDescent="0.5">
      <c r="A150">
        <v>147.5</v>
      </c>
      <c r="B150">
        <v>0.26040000000000002</v>
      </c>
      <c r="C150">
        <v>0</v>
      </c>
      <c r="D150">
        <v>0</v>
      </c>
      <c r="E150">
        <v>0</v>
      </c>
      <c r="G150">
        <v>147.5</v>
      </c>
      <c r="H150">
        <v>0</v>
      </c>
      <c r="I150">
        <v>0.37740000000000001</v>
      </c>
      <c r="J150">
        <v>0.3846</v>
      </c>
      <c r="K150">
        <v>0</v>
      </c>
    </row>
    <row r="151" spans="1:11" x14ac:dyDescent="0.5">
      <c r="A151">
        <v>148.5</v>
      </c>
      <c r="B151">
        <v>0</v>
      </c>
      <c r="C151">
        <v>0</v>
      </c>
      <c r="D151">
        <v>0</v>
      </c>
      <c r="E151">
        <v>0</v>
      </c>
      <c r="G151">
        <v>148.5</v>
      </c>
      <c r="H151">
        <v>0</v>
      </c>
      <c r="I151">
        <v>1.1321000000000001</v>
      </c>
      <c r="J151">
        <v>0</v>
      </c>
      <c r="K151">
        <v>1.0417000000000001</v>
      </c>
    </row>
    <row r="152" spans="1:11" x14ac:dyDescent="0.5">
      <c r="A152">
        <v>149.5</v>
      </c>
      <c r="B152">
        <v>0.26040000000000002</v>
      </c>
      <c r="C152">
        <v>0.2646</v>
      </c>
      <c r="D152">
        <v>0</v>
      </c>
      <c r="E152">
        <v>0</v>
      </c>
      <c r="G152">
        <v>149.5</v>
      </c>
      <c r="H152">
        <v>0</v>
      </c>
      <c r="I152">
        <v>0.37740000000000001</v>
      </c>
      <c r="J152">
        <v>0</v>
      </c>
      <c r="K152">
        <v>0</v>
      </c>
    </row>
    <row r="153" spans="1:11" x14ac:dyDescent="0.5">
      <c r="A153">
        <v>150.5</v>
      </c>
      <c r="B153">
        <v>0</v>
      </c>
      <c r="C153">
        <v>0</v>
      </c>
      <c r="D153">
        <v>0</v>
      </c>
      <c r="E153">
        <v>0</v>
      </c>
      <c r="G153">
        <v>150.5</v>
      </c>
      <c r="H153">
        <v>0</v>
      </c>
      <c r="I153">
        <v>0</v>
      </c>
      <c r="J153">
        <v>0.3846</v>
      </c>
      <c r="K153">
        <v>0.34720000000000001</v>
      </c>
    </row>
    <row r="154" spans="1:11" x14ac:dyDescent="0.5">
      <c r="A154">
        <v>151.5</v>
      </c>
      <c r="B154">
        <v>0</v>
      </c>
      <c r="C154">
        <v>0</v>
      </c>
      <c r="D154">
        <v>0</v>
      </c>
      <c r="E154">
        <v>0</v>
      </c>
      <c r="G154">
        <v>151.5</v>
      </c>
      <c r="H154">
        <v>0.68259999999999998</v>
      </c>
      <c r="I154">
        <v>0</v>
      </c>
      <c r="J154">
        <v>0</v>
      </c>
      <c r="K154">
        <v>0.34720000000000001</v>
      </c>
    </row>
    <row r="155" spans="1:11" x14ac:dyDescent="0.5">
      <c r="A155">
        <v>152.5</v>
      </c>
      <c r="B155">
        <v>0</v>
      </c>
      <c r="C155">
        <v>0</v>
      </c>
      <c r="D155">
        <v>0</v>
      </c>
      <c r="E155">
        <v>0</v>
      </c>
      <c r="G155">
        <v>152.5</v>
      </c>
      <c r="H155">
        <v>0</v>
      </c>
      <c r="I155">
        <v>0.37740000000000001</v>
      </c>
      <c r="J155">
        <v>0</v>
      </c>
      <c r="K155">
        <v>0</v>
      </c>
    </row>
    <row r="156" spans="1:11" x14ac:dyDescent="0.5">
      <c r="A156">
        <v>153.5</v>
      </c>
      <c r="B156">
        <v>0</v>
      </c>
      <c r="C156">
        <v>0</v>
      </c>
      <c r="D156">
        <v>0</v>
      </c>
      <c r="E156">
        <v>0</v>
      </c>
      <c r="G156">
        <v>153.5</v>
      </c>
      <c r="H156">
        <v>0</v>
      </c>
      <c r="I156">
        <v>0</v>
      </c>
      <c r="J156">
        <v>0.3846</v>
      </c>
      <c r="K156">
        <v>0</v>
      </c>
    </row>
    <row r="157" spans="1:11" x14ac:dyDescent="0.5">
      <c r="A157">
        <v>154.5</v>
      </c>
      <c r="B157">
        <v>0</v>
      </c>
      <c r="C157">
        <v>0</v>
      </c>
      <c r="D157">
        <v>0</v>
      </c>
      <c r="E157">
        <v>0.50760000000000005</v>
      </c>
      <c r="G157">
        <v>154.5</v>
      </c>
      <c r="H157">
        <v>0</v>
      </c>
      <c r="I157">
        <v>0</v>
      </c>
      <c r="J157">
        <v>0</v>
      </c>
      <c r="K157">
        <v>0</v>
      </c>
    </row>
    <row r="158" spans="1:11" x14ac:dyDescent="0.5">
      <c r="A158">
        <v>155.5</v>
      </c>
      <c r="B158">
        <v>0.26040000000000002</v>
      </c>
      <c r="C158">
        <v>0</v>
      </c>
      <c r="D158">
        <v>0</v>
      </c>
      <c r="E158">
        <v>0</v>
      </c>
      <c r="G158">
        <v>155.5</v>
      </c>
      <c r="H158">
        <v>0.34129999999999999</v>
      </c>
      <c r="I158">
        <v>0</v>
      </c>
      <c r="J158">
        <v>0</v>
      </c>
      <c r="K158">
        <v>0.34720000000000001</v>
      </c>
    </row>
    <row r="159" spans="1:11" x14ac:dyDescent="0.5">
      <c r="A159">
        <v>156.5</v>
      </c>
      <c r="B159">
        <v>0</v>
      </c>
      <c r="C159">
        <v>0</v>
      </c>
      <c r="D159">
        <v>0</v>
      </c>
      <c r="E159">
        <v>0</v>
      </c>
      <c r="G159">
        <v>156.5</v>
      </c>
      <c r="H159">
        <v>0</v>
      </c>
      <c r="I159">
        <v>0</v>
      </c>
      <c r="J159">
        <v>0</v>
      </c>
      <c r="K159">
        <v>0</v>
      </c>
    </row>
    <row r="160" spans="1:11" x14ac:dyDescent="0.5">
      <c r="A160">
        <v>157.5</v>
      </c>
      <c r="B160">
        <v>0</v>
      </c>
      <c r="C160">
        <v>0</v>
      </c>
      <c r="D160">
        <v>0</v>
      </c>
      <c r="E160">
        <v>0.25380000000000003</v>
      </c>
      <c r="G160">
        <v>157.5</v>
      </c>
      <c r="H160">
        <v>0</v>
      </c>
      <c r="I160">
        <v>0</v>
      </c>
      <c r="J160">
        <v>0</v>
      </c>
      <c r="K160">
        <v>0</v>
      </c>
    </row>
    <row r="161" spans="1:11" x14ac:dyDescent="0.5">
      <c r="A161">
        <v>158.5</v>
      </c>
      <c r="B161">
        <v>0</v>
      </c>
      <c r="C161">
        <v>0</v>
      </c>
      <c r="D161">
        <v>0</v>
      </c>
      <c r="E161">
        <v>0</v>
      </c>
      <c r="G161">
        <v>158.5</v>
      </c>
      <c r="H161">
        <v>0</v>
      </c>
      <c r="I161">
        <v>0</v>
      </c>
      <c r="J161">
        <v>0.3846</v>
      </c>
      <c r="K161">
        <v>0</v>
      </c>
    </row>
    <row r="162" spans="1:11" x14ac:dyDescent="0.5">
      <c r="A162">
        <v>159.5</v>
      </c>
      <c r="B162">
        <v>0</v>
      </c>
      <c r="C162">
        <v>0</v>
      </c>
      <c r="D162">
        <v>0</v>
      </c>
      <c r="E162">
        <v>0</v>
      </c>
      <c r="G162">
        <v>159.5</v>
      </c>
      <c r="H162">
        <v>0</v>
      </c>
      <c r="I162">
        <v>0</v>
      </c>
      <c r="J162">
        <v>0</v>
      </c>
      <c r="K162">
        <v>0</v>
      </c>
    </row>
    <row r="163" spans="1:11" x14ac:dyDescent="0.5">
      <c r="A163">
        <v>160.5</v>
      </c>
      <c r="B163">
        <v>0</v>
      </c>
      <c r="C163">
        <v>0</v>
      </c>
      <c r="D163">
        <v>0</v>
      </c>
      <c r="E163">
        <v>0</v>
      </c>
      <c r="G163">
        <v>160.5</v>
      </c>
      <c r="H163">
        <v>0</v>
      </c>
      <c r="I163">
        <v>0.37740000000000001</v>
      </c>
      <c r="J163">
        <v>0.3846</v>
      </c>
      <c r="K163">
        <v>0.34720000000000001</v>
      </c>
    </row>
    <row r="164" spans="1:11" x14ac:dyDescent="0.5">
      <c r="A164">
        <v>161.5</v>
      </c>
      <c r="B164">
        <v>0</v>
      </c>
      <c r="C164">
        <v>0</v>
      </c>
      <c r="D164">
        <v>0</v>
      </c>
      <c r="E164">
        <v>0</v>
      </c>
      <c r="G164">
        <v>161.5</v>
      </c>
      <c r="H164">
        <v>0.34129999999999999</v>
      </c>
      <c r="I164">
        <v>0</v>
      </c>
      <c r="J164">
        <v>0</v>
      </c>
      <c r="K164">
        <v>0</v>
      </c>
    </row>
    <row r="165" spans="1:11" x14ac:dyDescent="0.5">
      <c r="A165">
        <v>162.5</v>
      </c>
      <c r="B165">
        <v>0</v>
      </c>
      <c r="C165">
        <v>0</v>
      </c>
      <c r="D165">
        <v>0</v>
      </c>
      <c r="E165">
        <v>0</v>
      </c>
      <c r="G165">
        <v>162.5</v>
      </c>
      <c r="H165">
        <v>0</v>
      </c>
      <c r="I165">
        <v>0.37740000000000001</v>
      </c>
      <c r="J165">
        <v>0</v>
      </c>
      <c r="K165">
        <v>0</v>
      </c>
    </row>
    <row r="166" spans="1:11" x14ac:dyDescent="0.5">
      <c r="A166">
        <v>163.5</v>
      </c>
      <c r="B166">
        <v>0</v>
      </c>
      <c r="C166">
        <v>0</v>
      </c>
      <c r="D166">
        <v>0</v>
      </c>
      <c r="E166">
        <v>0</v>
      </c>
      <c r="G166">
        <v>163.5</v>
      </c>
      <c r="H166">
        <v>0</v>
      </c>
      <c r="I166">
        <v>0</v>
      </c>
      <c r="J166">
        <v>0</v>
      </c>
      <c r="K166">
        <v>0</v>
      </c>
    </row>
    <row r="167" spans="1:11" x14ac:dyDescent="0.5">
      <c r="A167">
        <v>164.5</v>
      </c>
      <c r="B167">
        <v>0</v>
      </c>
      <c r="C167">
        <v>0</v>
      </c>
      <c r="D167">
        <v>0</v>
      </c>
      <c r="E167">
        <v>0</v>
      </c>
      <c r="G167">
        <v>164.5</v>
      </c>
      <c r="H167">
        <v>0.34129999999999999</v>
      </c>
      <c r="I167">
        <v>0</v>
      </c>
      <c r="J167">
        <v>0</v>
      </c>
      <c r="K167">
        <v>0</v>
      </c>
    </row>
    <row r="168" spans="1:11" x14ac:dyDescent="0.5">
      <c r="A168">
        <v>165.5</v>
      </c>
      <c r="B168">
        <v>0</v>
      </c>
      <c r="C168">
        <v>0</v>
      </c>
      <c r="D168">
        <v>0</v>
      </c>
      <c r="E168">
        <v>0</v>
      </c>
      <c r="G168">
        <v>165.5</v>
      </c>
      <c r="H168">
        <v>0</v>
      </c>
      <c r="I168">
        <v>0.75470000000000004</v>
      </c>
      <c r="J168">
        <v>0</v>
      </c>
      <c r="K168">
        <v>0</v>
      </c>
    </row>
    <row r="169" spans="1:11" x14ac:dyDescent="0.5">
      <c r="A169">
        <v>166.5</v>
      </c>
      <c r="B169">
        <v>0</v>
      </c>
      <c r="C169">
        <v>0</v>
      </c>
      <c r="D169">
        <v>0</v>
      </c>
      <c r="E169">
        <v>0</v>
      </c>
      <c r="G169">
        <v>166.5</v>
      </c>
      <c r="H169">
        <v>0</v>
      </c>
      <c r="I169">
        <v>0</v>
      </c>
      <c r="J169">
        <v>0</v>
      </c>
      <c r="K169">
        <v>0</v>
      </c>
    </row>
    <row r="170" spans="1:11" x14ac:dyDescent="0.5">
      <c r="A170">
        <v>167.5</v>
      </c>
      <c r="B170">
        <v>0</v>
      </c>
      <c r="C170">
        <v>0</v>
      </c>
      <c r="D170">
        <v>0</v>
      </c>
      <c r="E170">
        <v>0</v>
      </c>
      <c r="G170">
        <v>167.5</v>
      </c>
      <c r="H170">
        <v>0</v>
      </c>
      <c r="I170">
        <v>0</v>
      </c>
      <c r="J170">
        <v>0</v>
      </c>
      <c r="K170">
        <v>0</v>
      </c>
    </row>
    <row r="171" spans="1:11" x14ac:dyDescent="0.5">
      <c r="A171">
        <v>168.5</v>
      </c>
      <c r="B171">
        <v>0</v>
      </c>
      <c r="C171">
        <v>0</v>
      </c>
      <c r="D171">
        <v>0</v>
      </c>
      <c r="E171">
        <v>0</v>
      </c>
      <c r="G171">
        <v>168.5</v>
      </c>
      <c r="H171">
        <v>0</v>
      </c>
      <c r="I171">
        <v>0</v>
      </c>
      <c r="J171">
        <v>0</v>
      </c>
      <c r="K171">
        <v>0</v>
      </c>
    </row>
    <row r="172" spans="1:11" x14ac:dyDescent="0.5">
      <c r="A172">
        <v>169.5</v>
      </c>
      <c r="B172">
        <v>0</v>
      </c>
      <c r="C172">
        <v>0</v>
      </c>
      <c r="D172">
        <v>0</v>
      </c>
      <c r="E172">
        <v>0</v>
      </c>
      <c r="G172">
        <v>169.5</v>
      </c>
      <c r="H172">
        <v>0</v>
      </c>
      <c r="I172">
        <v>0.37740000000000001</v>
      </c>
      <c r="J172">
        <v>0</v>
      </c>
      <c r="K172">
        <v>0</v>
      </c>
    </row>
    <row r="173" spans="1:11" x14ac:dyDescent="0.5">
      <c r="A173">
        <v>170.5</v>
      </c>
      <c r="B173">
        <v>0</v>
      </c>
      <c r="C173">
        <v>0</v>
      </c>
      <c r="D173">
        <v>0</v>
      </c>
      <c r="E173">
        <v>0</v>
      </c>
      <c r="G173">
        <v>170.5</v>
      </c>
      <c r="H173">
        <v>0</v>
      </c>
      <c r="I173">
        <v>0</v>
      </c>
      <c r="J173">
        <v>0</v>
      </c>
      <c r="K173">
        <v>0</v>
      </c>
    </row>
    <row r="174" spans="1:11" x14ac:dyDescent="0.5">
      <c r="A174">
        <v>171.5</v>
      </c>
      <c r="B174">
        <v>0</v>
      </c>
      <c r="C174">
        <v>0</v>
      </c>
      <c r="D174">
        <v>0</v>
      </c>
      <c r="E174">
        <v>0</v>
      </c>
      <c r="G174">
        <v>171.5</v>
      </c>
      <c r="H174">
        <v>0.34129999999999999</v>
      </c>
      <c r="I174">
        <v>0</v>
      </c>
      <c r="J174">
        <v>0</v>
      </c>
      <c r="K174">
        <v>0</v>
      </c>
    </row>
    <row r="175" spans="1:11" x14ac:dyDescent="0.5">
      <c r="A175">
        <v>172.5</v>
      </c>
      <c r="B175">
        <v>0</v>
      </c>
      <c r="C175">
        <v>0</v>
      </c>
      <c r="D175">
        <v>0</v>
      </c>
      <c r="E175">
        <v>0</v>
      </c>
      <c r="G175">
        <v>172.5</v>
      </c>
      <c r="H175">
        <v>0</v>
      </c>
      <c r="I175">
        <v>0</v>
      </c>
      <c r="J175">
        <v>0</v>
      </c>
      <c r="K175">
        <v>0</v>
      </c>
    </row>
    <row r="176" spans="1:11" x14ac:dyDescent="0.5">
      <c r="A176">
        <v>173.5</v>
      </c>
      <c r="B176">
        <v>0</v>
      </c>
      <c r="C176">
        <v>0</v>
      </c>
      <c r="D176">
        <v>0</v>
      </c>
      <c r="E176">
        <v>0</v>
      </c>
      <c r="G176">
        <v>173.5</v>
      </c>
      <c r="H176">
        <v>0</v>
      </c>
      <c r="I176">
        <v>0</v>
      </c>
      <c r="J176">
        <v>0</v>
      </c>
      <c r="K176">
        <v>0</v>
      </c>
    </row>
    <row r="177" spans="1:11" x14ac:dyDescent="0.5">
      <c r="A177">
        <v>174.5</v>
      </c>
      <c r="B177">
        <v>0</v>
      </c>
      <c r="C177">
        <v>0</v>
      </c>
      <c r="D177">
        <v>0</v>
      </c>
      <c r="E177">
        <v>0</v>
      </c>
      <c r="G177">
        <v>174.5</v>
      </c>
      <c r="H177">
        <v>0</v>
      </c>
      <c r="I177">
        <v>0</v>
      </c>
      <c r="J177">
        <v>0</v>
      </c>
      <c r="K177">
        <v>0</v>
      </c>
    </row>
    <row r="178" spans="1:11" x14ac:dyDescent="0.5">
      <c r="A178">
        <v>175.5</v>
      </c>
      <c r="B178">
        <v>0</v>
      </c>
      <c r="C178">
        <v>0</v>
      </c>
      <c r="D178">
        <v>0</v>
      </c>
      <c r="E178">
        <v>0</v>
      </c>
      <c r="G178">
        <v>175.5</v>
      </c>
      <c r="H178">
        <v>0</v>
      </c>
      <c r="I178">
        <v>0</v>
      </c>
      <c r="J178">
        <v>0</v>
      </c>
      <c r="K178">
        <v>0</v>
      </c>
    </row>
    <row r="179" spans="1:11" x14ac:dyDescent="0.5">
      <c r="A179">
        <v>176.5</v>
      </c>
      <c r="B179">
        <v>0</v>
      </c>
      <c r="C179">
        <v>0</v>
      </c>
      <c r="D179">
        <v>0</v>
      </c>
      <c r="E179">
        <v>0</v>
      </c>
      <c r="G179">
        <v>176.5</v>
      </c>
      <c r="H179">
        <v>0</v>
      </c>
      <c r="I179">
        <v>0</v>
      </c>
      <c r="J179">
        <v>0</v>
      </c>
      <c r="K179">
        <v>0</v>
      </c>
    </row>
    <row r="180" spans="1:11" x14ac:dyDescent="0.5">
      <c r="A180">
        <v>177.5</v>
      </c>
      <c r="B180">
        <v>0</v>
      </c>
      <c r="C180">
        <v>0</v>
      </c>
      <c r="D180">
        <v>0</v>
      </c>
      <c r="E180">
        <v>0</v>
      </c>
      <c r="G180">
        <v>177.5</v>
      </c>
      <c r="H180">
        <v>0</v>
      </c>
      <c r="I180">
        <v>0</v>
      </c>
      <c r="J180">
        <v>0</v>
      </c>
      <c r="K180">
        <v>0</v>
      </c>
    </row>
    <row r="181" spans="1:11" x14ac:dyDescent="0.5">
      <c r="A181">
        <v>178.5</v>
      </c>
      <c r="B181">
        <v>0</v>
      </c>
      <c r="C181">
        <v>0</v>
      </c>
      <c r="D181">
        <v>0</v>
      </c>
      <c r="E181">
        <v>0</v>
      </c>
      <c r="G181">
        <v>178.5</v>
      </c>
      <c r="H181">
        <v>0</v>
      </c>
      <c r="I181">
        <v>0</v>
      </c>
      <c r="J181">
        <v>0</v>
      </c>
      <c r="K181">
        <v>0</v>
      </c>
    </row>
    <row r="182" spans="1:11" x14ac:dyDescent="0.5">
      <c r="A182">
        <v>179.5</v>
      </c>
      <c r="B182">
        <v>0</v>
      </c>
      <c r="C182">
        <v>0</v>
      </c>
      <c r="D182">
        <v>0</v>
      </c>
      <c r="E182">
        <v>0</v>
      </c>
      <c r="G182">
        <v>179.5</v>
      </c>
      <c r="H182">
        <v>0</v>
      </c>
      <c r="I182">
        <v>0</v>
      </c>
      <c r="J182">
        <v>0</v>
      </c>
      <c r="K182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atom_calc</vt:lpstr>
      <vt:lpstr>pair_coeff</vt:lpstr>
      <vt:lpstr>bond length</vt:lpstr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dikshant</dc:creator>
  <cp:lastModifiedBy>Dikshant Nautiyal</cp:lastModifiedBy>
  <dcterms:created xsi:type="dcterms:W3CDTF">2015-06-05T18:17:20Z</dcterms:created>
  <dcterms:modified xsi:type="dcterms:W3CDTF">2026-03-27T14:29:08Z</dcterms:modified>
</cp:coreProperties>
</file>